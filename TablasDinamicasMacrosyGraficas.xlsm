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64011"/>
  <mc:AlternateContent xmlns:mc="http://schemas.openxmlformats.org/markup-compatibility/2006">
    <mc:Choice Requires="x15">
      <x15ac:absPath xmlns:x15ac="http://schemas.microsoft.com/office/spreadsheetml/2010/11/ac" url="E:\Personales\"/>
    </mc:Choice>
  </mc:AlternateContent>
  <bookViews>
    <workbookView xWindow="0" yWindow="0" windowWidth="16380" windowHeight="8190" tabRatio="747"/>
  </bookViews>
  <sheets>
    <sheet name="InformaciónGeneral" sheetId="14" r:id="rId1"/>
    <sheet name="Consumos" sheetId="1" r:id="rId2"/>
    <sheet name="Litros-Dinero" sheetId="2" r:id="rId3"/>
    <sheet name="Euros-Litro" sheetId="10" r:id="rId4"/>
    <sheet name="Kilómetros Recorridos" sheetId="12" r:id="rId5"/>
  </sheets>
  <definedNames>
    <definedName name="Anyo">Consumos!$I$2:$I$150</definedName>
    <definedName name="Fecha">Consumos!$A$2:$A$150</definedName>
    <definedName name="Kms_Recorridos">Consumos!$G$2:$G$150</definedName>
  </definedNames>
  <calcPr calcId="162913"/>
  <pivotCaches>
    <pivotCache cacheId="0" r:id="rId6"/>
    <pivotCache cacheId="1" r:id="rId7"/>
  </pivotCaches>
  <extLst>
    <ext xmlns:loext="http://schemas.libreoffice.org/" uri="{7626C862-2A13-11E5-B345-FEFF819CDC9F}">
      <loext:extCalcPr stringRefSyntax="CalcA1ExcelA1"/>
    </ext>
  </extLst>
</workbook>
</file>

<file path=xl/calcChain.xml><?xml version="1.0" encoding="utf-8"?>
<calcChain xmlns="http://schemas.openxmlformats.org/spreadsheetml/2006/main">
  <c r="H80" i="1" l="1"/>
  <c r="B3" i="1" l="1"/>
  <c r="B4" i="1"/>
  <c r="B5" i="1"/>
  <c r="B6" i="1"/>
  <c r="B7" i="1"/>
  <c r="B8" i="1"/>
  <c r="B9" i="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7" i="1"/>
  <c r="B138" i="1"/>
  <c r="B139" i="1"/>
  <c r="B140" i="1"/>
  <c r="B141" i="1"/>
  <c r="B142" i="1"/>
  <c r="B143" i="1"/>
  <c r="B144" i="1"/>
  <c r="B145" i="1"/>
  <c r="B146" i="1"/>
  <c r="B147" i="1"/>
  <c r="B148" i="1"/>
  <c r="B149" i="1"/>
  <c r="B2" i="1"/>
  <c r="G28" i="1" l="1"/>
  <c r="G29" i="1"/>
  <c r="G30" i="1"/>
  <c r="G31" i="1"/>
  <c r="G32" i="1"/>
  <c r="G33" i="1"/>
  <c r="G34" i="1"/>
  <c r="H29" i="1"/>
  <c r="I29"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I50" i="1"/>
  <c r="I3" i="1"/>
  <c r="I4" i="1"/>
  <c r="I5" i="1"/>
  <c r="I6" i="1"/>
  <c r="I7" i="1"/>
  <c r="I8" i="1"/>
  <c r="I9" i="1"/>
  <c r="I10" i="1"/>
  <c r="I11" i="1"/>
  <c r="I12" i="1"/>
  <c r="I13" i="1"/>
  <c r="I14" i="1"/>
  <c r="I15" i="1"/>
  <c r="I16" i="1"/>
  <c r="I17" i="1"/>
  <c r="I18" i="1"/>
  <c r="I19" i="1"/>
  <c r="I20" i="1"/>
  <c r="I21" i="1"/>
  <c r="I22" i="1"/>
  <c r="I23" i="1"/>
  <c r="I24" i="1"/>
  <c r="I25" i="1"/>
  <c r="I26" i="1"/>
  <c r="I27" i="1"/>
  <c r="I28" i="1"/>
  <c r="I30" i="1"/>
  <c r="I31" i="1"/>
  <c r="I32" i="1"/>
  <c r="I33" i="1"/>
  <c r="I34" i="1"/>
  <c r="I35" i="1"/>
  <c r="I36" i="1"/>
  <c r="I37" i="1"/>
  <c r="I38" i="1"/>
  <c r="I39" i="1"/>
  <c r="I40" i="1"/>
  <c r="I41" i="1"/>
  <c r="I42" i="1"/>
  <c r="I43" i="1"/>
  <c r="I44" i="1"/>
  <c r="I45" i="1"/>
  <c r="I46" i="1"/>
  <c r="I47" i="1"/>
  <c r="I48" i="1"/>
  <c r="I49"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M14" i="1" l="1"/>
  <c r="M15" i="1"/>
  <c r="I2" i="1"/>
  <c r="L20" i="1" s="1"/>
  <c r="M20" i="1" s="1"/>
  <c r="H3" i="1" l="1"/>
  <c r="H4" i="1"/>
  <c r="H5" i="1"/>
  <c r="H6" i="1"/>
  <c r="H7" i="1"/>
  <c r="H8" i="1"/>
  <c r="H9" i="1"/>
  <c r="H10" i="1"/>
  <c r="H11" i="1"/>
  <c r="H12" i="1"/>
  <c r="H13" i="1"/>
  <c r="H14" i="1"/>
  <c r="H15" i="1"/>
  <c r="H16" i="1"/>
  <c r="H17" i="1"/>
  <c r="H18" i="1"/>
  <c r="H19" i="1"/>
  <c r="H20" i="1"/>
  <c r="H21" i="1"/>
  <c r="H22" i="1"/>
  <c r="H23" i="1"/>
  <c r="H24" i="1"/>
  <c r="H25" i="1"/>
  <c r="H26" i="1"/>
  <c r="H27" i="1"/>
  <c r="H28" i="1"/>
  <c r="H30" i="1"/>
  <c r="H31" i="1"/>
  <c r="H32" i="1"/>
  <c r="H33" i="1"/>
  <c r="H34" i="1"/>
  <c r="H35" i="1"/>
  <c r="H36" i="1"/>
  <c r="H37" i="1"/>
  <c r="H38" i="1"/>
  <c r="H39" i="1"/>
  <c r="H40" i="1"/>
  <c r="H41" i="1"/>
  <c r="H42" i="1"/>
  <c r="H43" i="1"/>
  <c r="H44" i="1"/>
  <c r="H45" i="1"/>
  <c r="H46" i="1"/>
  <c r="H47" i="1"/>
  <c r="H48" i="1"/>
  <c r="H78" i="1"/>
  <c r="H79"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2" i="1"/>
  <c r="G147" i="1" l="1"/>
  <c r="G148" i="1"/>
  <c r="G149" i="1"/>
  <c r="L4" i="1" l="1"/>
  <c r="L3" i="1"/>
  <c r="G146" i="1"/>
  <c r="G145" i="1"/>
  <c r="G144" i="1"/>
  <c r="G143" i="1"/>
  <c r="G142" i="1"/>
  <c r="G141" i="1"/>
  <c r="G140" i="1"/>
  <c r="G139" i="1"/>
  <c r="G138" i="1"/>
  <c r="G137" i="1"/>
  <c r="G136" i="1"/>
  <c r="G135" i="1"/>
  <c r="G134" i="1"/>
  <c r="G133" i="1"/>
  <c r="G132" i="1"/>
  <c r="G131" i="1"/>
  <c r="G130" i="1"/>
  <c r="G129" i="1"/>
  <c r="G128" i="1"/>
  <c r="G127" i="1"/>
  <c r="G126" i="1"/>
  <c r="G125" i="1"/>
  <c r="G124" i="1"/>
  <c r="G123" i="1"/>
  <c r="G122" i="1"/>
  <c r="G121" i="1"/>
  <c r="G120" i="1"/>
  <c r="G119" i="1"/>
  <c r="G118" i="1"/>
  <c r="G117" i="1"/>
  <c r="G116" i="1"/>
  <c r="G115" i="1"/>
  <c r="G114" i="1"/>
  <c r="G113" i="1"/>
  <c r="G112" i="1"/>
  <c r="G111" i="1"/>
  <c r="G110" i="1"/>
  <c r="G109" i="1"/>
  <c r="G108" i="1"/>
  <c r="G107" i="1"/>
  <c r="G106" i="1"/>
  <c r="G105" i="1"/>
  <c r="G104" i="1"/>
  <c r="G103" i="1"/>
  <c r="G102" i="1"/>
  <c r="G101" i="1"/>
  <c r="G100" i="1"/>
  <c r="G99" i="1"/>
  <c r="G98" i="1"/>
  <c r="G97" i="1"/>
  <c r="G96" i="1"/>
  <c r="G95" i="1"/>
  <c r="G94" i="1"/>
  <c r="G93" i="1"/>
  <c r="G92" i="1"/>
  <c r="G91" i="1"/>
  <c r="G90" i="1"/>
  <c r="G89" i="1"/>
  <c r="G88" i="1"/>
  <c r="G87" i="1"/>
  <c r="G86" i="1"/>
  <c r="G85" i="1"/>
  <c r="G84" i="1"/>
  <c r="G83" i="1"/>
  <c r="G82" i="1"/>
  <c r="G81" i="1"/>
  <c r="G80" i="1"/>
  <c r="G79" i="1"/>
  <c r="G78" i="1"/>
  <c r="G77" i="1"/>
  <c r="G76" i="1"/>
  <c r="G75" i="1"/>
  <c r="G74" i="1"/>
  <c r="G73" i="1"/>
  <c r="G72" i="1"/>
  <c r="G71" i="1"/>
  <c r="G70" i="1"/>
  <c r="G69" i="1"/>
  <c r="G68" i="1"/>
  <c r="G67" i="1"/>
  <c r="G66" i="1"/>
  <c r="G65" i="1"/>
  <c r="G64" i="1"/>
  <c r="G63" i="1"/>
  <c r="G62" i="1"/>
  <c r="G61" i="1"/>
  <c r="G60" i="1"/>
  <c r="G59" i="1"/>
  <c r="G58" i="1"/>
  <c r="G57" i="1"/>
  <c r="G56" i="1"/>
  <c r="L18" i="1" s="1"/>
  <c r="M18" i="1" s="1"/>
  <c r="G55" i="1"/>
  <c r="G54" i="1"/>
  <c r="G53" i="1"/>
  <c r="G52" i="1"/>
  <c r="G51" i="1"/>
  <c r="G50" i="1"/>
  <c r="G49" i="1"/>
  <c r="G48" i="1"/>
  <c r="G47" i="1"/>
  <c r="G46" i="1"/>
  <c r="G45" i="1"/>
  <c r="G44" i="1"/>
  <c r="G43" i="1"/>
  <c r="G42" i="1"/>
  <c r="G41" i="1"/>
  <c r="G40" i="1"/>
  <c r="L17" i="1" s="1"/>
  <c r="M17" i="1" s="1"/>
  <c r="G39" i="1"/>
  <c r="G38" i="1"/>
  <c r="G37" i="1"/>
  <c r="G36" i="1"/>
  <c r="G35" i="1"/>
  <c r="L16" i="1"/>
  <c r="M16" i="1" s="1"/>
  <c r="G27" i="1"/>
  <c r="G26" i="1"/>
  <c r="G25" i="1"/>
  <c r="G24" i="1"/>
  <c r="G23" i="1"/>
  <c r="G22" i="1"/>
  <c r="G21" i="1"/>
  <c r="G20" i="1"/>
  <c r="G19" i="1"/>
  <c r="G18" i="1"/>
  <c r="G17" i="1"/>
  <c r="G16" i="1"/>
  <c r="G15" i="1"/>
  <c r="G14" i="1"/>
  <c r="G13" i="1"/>
  <c r="G12" i="1"/>
  <c r="G11" i="1"/>
  <c r="G10" i="1"/>
  <c r="G9" i="1"/>
  <c r="G8" i="1"/>
  <c r="G7" i="1"/>
  <c r="G6" i="1"/>
  <c r="L5" i="1"/>
  <c r="G5" i="1"/>
  <c r="G4" i="1"/>
  <c r="G3" i="1"/>
  <c r="G2" i="1"/>
  <c r="F151" i="1"/>
  <c r="D151" i="1"/>
  <c r="C151" i="1"/>
  <c r="L19" i="1" l="1"/>
  <c r="M19" i="1" s="1"/>
  <c r="H151" i="1"/>
  <c r="L12" i="1"/>
  <c r="M12" i="1" s="1"/>
  <c r="L13" i="1"/>
  <c r="M13" i="1" s="1"/>
  <c r="L11" i="1"/>
  <c r="M11" i="1" s="1"/>
  <c r="G151" i="1"/>
  <c r="L8" i="1" s="1"/>
  <c r="K8" i="1" l="1"/>
</calcChain>
</file>

<file path=xl/sharedStrings.xml><?xml version="1.0" encoding="utf-8"?>
<sst xmlns="http://schemas.openxmlformats.org/spreadsheetml/2006/main" count="182" uniqueCount="66">
  <si>
    <t>FECHA</t>
  </si>
  <si>
    <t>DIAS</t>
  </si>
  <si>
    <t>LITROS</t>
  </si>
  <si>
    <t>DINERO</t>
  </si>
  <si>
    <t>€/LITRO</t>
  </si>
  <si>
    <t>KMS</t>
  </si>
  <si>
    <t>Kms Recorridos</t>
  </si>
  <si>
    <t>Calculo €/L</t>
  </si>
  <si>
    <t>Totales</t>
  </si>
  <si>
    <t>Moto en propiedad</t>
  </si>
  <si>
    <t>Años</t>
  </si>
  <si>
    <t>Meses</t>
  </si>
  <si>
    <t>Dias</t>
  </si>
  <si>
    <t>Kilómetros/Año</t>
  </si>
  <si>
    <t>Km/Dia</t>
  </si>
  <si>
    <t>€/100 Km</t>
  </si>
  <si>
    <t>Litros/100 Km</t>
  </si>
  <si>
    <t>Grand Total</t>
  </si>
  <si>
    <t>2011</t>
  </si>
  <si>
    <t>2012</t>
  </si>
  <si>
    <t>2013</t>
  </si>
  <si>
    <t>2016</t>
  </si>
  <si>
    <t>2017</t>
  </si>
  <si>
    <t>2018</t>
  </si>
  <si>
    <t>2019</t>
  </si>
  <si>
    <t>Fecha</t>
  </si>
  <si>
    <t>Total Litros</t>
  </si>
  <si>
    <t>Total Dinero</t>
  </si>
  <si>
    <t>ago</t>
  </si>
  <si>
    <t>sep</t>
  </si>
  <si>
    <t>oct</t>
  </si>
  <si>
    <t>nov</t>
  </si>
  <si>
    <t>dic</t>
  </si>
  <si>
    <t>ene</t>
  </si>
  <si>
    <t>feb</t>
  </si>
  <si>
    <t>mar</t>
  </si>
  <si>
    <t>abr</t>
  </si>
  <si>
    <t>may</t>
  </si>
  <si>
    <t>jun</t>
  </si>
  <si>
    <t>jul</t>
  </si>
  <si>
    <t>Average of Calculo €/L</t>
  </si>
  <si>
    <t>Precio €/LITRO</t>
  </si>
  <si>
    <t>Año</t>
  </si>
  <si>
    <t>Formatos aplicados:</t>
  </si>
  <si>
    <t>Fórmulas aplicadas:</t>
  </si>
  <si>
    <t>Sum of Kms Recorridos</t>
  </si>
  <si>
    <t xml:space="preserve">Este libro Excel representa los gastos de gasolina de una motocicleta durante un periodo de tiempo de varios años con los gastos de combustible y kilómetros recorridos. En las siguientes hojas podemos ver las diferentes tablas dinámicas y gráficos relativos. </t>
  </si>
  <si>
    <t>Autor:</t>
  </si>
  <si>
    <t>Luis Massó Saiz</t>
  </si>
  <si>
    <t>Gestión Motocicleta</t>
  </si>
  <si>
    <t>Cálculo del numero de días entre fechas.
Cálculo de kilómetros recorridos entre fechas.
Cálculo de precio del litro según el gasto.
Sumatórios y cálculos de valores máximos o medias.
Cálculos con fechas.</t>
  </si>
  <si>
    <t>Título:</t>
  </si>
  <si>
    <t>Propósito:</t>
  </si>
  <si>
    <t>Otros</t>
  </si>
  <si>
    <t>Definición de nombres aplicados a Rangos.
Ocultación de columnas.
Bloqueo de filas.</t>
  </si>
  <si>
    <t>Información de este Libro de Excel</t>
  </si>
  <si>
    <t xml:space="preserve">Descripción: </t>
  </si>
  <si>
    <t xml:space="preserve">Sirva este documento como práctica personal y demostración frente a terceros de mis conocimientos del manejo de Excel. </t>
  </si>
  <si>
    <t>Formatos de número/decimales/fechas sobre las celdas y/o tablas.
Formatos condicionales sobre las lineas según la fecha.</t>
  </si>
  <si>
    <r>
      <rPr>
        <sz val="10"/>
        <rFont val="Calibri"/>
        <family val="2"/>
      </rPr>
      <t>←</t>
    </r>
    <r>
      <rPr>
        <sz val="10"/>
        <rFont val="Arial"/>
        <family val="2"/>
      </rPr>
      <t>Nota: Periodo de tiempo sin registro de datos.</t>
    </r>
  </si>
  <si>
    <t>2014</t>
  </si>
  <si>
    <t>2015</t>
  </si>
  <si>
    <t xml:space="preserve">Observaciones: </t>
  </si>
  <si>
    <t>Mi intención para esto era utilizar una hoja de Cálculo que tuviera bastantes registros pero para evitar utilizar posibles datos sensibles utilizando algún documento sobre el que habitualmente trabajo (que era mi inicial intención), he utilizado un documento personal sobre el que guardo estos.</t>
  </si>
  <si>
    <t>Macros Aplicadas</t>
  </si>
  <si>
    <t xml:space="preserve">Macro básica que actualiza las tablas dinámicas y gráficos cuando se crean nuevos registros o actualizan datos.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</si>
</sst>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0\ [$€-C0A];[Red]\-#,##0.00\ [$€-C0A]"/>
    <numFmt numFmtId="165" formatCode="0.000"/>
    <numFmt numFmtId="166" formatCode="#,###.00"/>
  </numFmts>
  <fonts count="18">
    <font>
      <sz val="10"/>
      <name val="Arial"/>
      <family val="2"/>
    </font>
    <font>
      <sz val="11"/>
      <color theme="1"/>
      <name val="Calibri"/>
      <family val="2"/>
      <scheme val="minor"/>
    </font>
    <font>
      <u/>
      <sz val="10"/>
      <name val="Mangal"/>
      <family val="2"/>
    </font>
    <font>
      <sz val="10"/>
      <name val="Mangal"/>
      <family val="2"/>
    </font>
    <font>
      <sz val="10"/>
      <color rgb="FFFFFFFF"/>
      <name val="Mangal"/>
      <family val="2"/>
    </font>
    <font>
      <sz val="11"/>
      <name val="Arial"/>
      <family val="2"/>
    </font>
    <font>
      <b/>
      <sz val="12"/>
      <color rgb="FFFFFF00"/>
      <name val="Arial"/>
      <family val="2"/>
    </font>
    <font>
      <b/>
      <sz val="11"/>
      <name val="Arial"/>
      <family val="2"/>
    </font>
    <font>
      <sz val="10"/>
      <color theme="1"/>
      <name val="Arial"/>
      <family val="2"/>
    </font>
    <font>
      <b/>
      <sz val="15"/>
      <color theme="3"/>
      <name val="Calibri"/>
      <family val="2"/>
      <scheme val="minor"/>
    </font>
    <font>
      <b/>
      <sz val="11"/>
      <color theme="3"/>
      <name val="Calibri"/>
      <family val="2"/>
      <scheme val="minor"/>
    </font>
    <font>
      <sz val="10"/>
      <color rgb="FFFF0000"/>
      <name val="Arial"/>
      <family val="2"/>
    </font>
    <font>
      <sz val="10"/>
      <name val="Calibri"/>
      <family val="2"/>
    </font>
    <font>
      <sz val="10"/>
      <name val="Arial"/>
      <family val="2"/>
    </font>
    <font>
      <sz val="11"/>
      <color theme="0"/>
      <name val="Calibri"/>
      <family val="2"/>
      <scheme val="minor"/>
    </font>
    <font>
      <sz val="11"/>
      <name val="Calibri"/>
      <family val="2"/>
      <scheme val="minor"/>
    </font>
    <font>
      <b/>
      <sz val="11"/>
      <name val="Calibri"/>
      <family val="2"/>
      <scheme val="minor"/>
    </font>
    <font>
      <i/>
      <sz val="11"/>
      <color rgb="FF7F7F7F"/>
      <name val="Calibri"/>
      <family val="2"/>
      <scheme val="minor"/>
    </font>
  </fonts>
  <fills count="17">
    <fill>
      <patternFill patternType="none"/>
    </fill>
    <fill>
      <patternFill patternType="gray125"/>
    </fill>
    <fill>
      <patternFill patternType="solid">
        <fgColor rgb="FFFF0000"/>
        <bgColor rgb="FF993300"/>
      </patternFill>
    </fill>
    <fill>
      <patternFill patternType="solid">
        <fgColor rgb="FFFFFF00"/>
        <bgColor rgb="FFFFFF00"/>
      </patternFill>
    </fill>
    <fill>
      <patternFill patternType="solid">
        <fgColor rgb="FF000000"/>
        <bgColor rgb="FF003300"/>
      </patternFill>
    </fill>
    <fill>
      <patternFill patternType="solid">
        <fgColor rgb="FFFFFF99"/>
        <bgColor rgb="FFFFF685"/>
      </patternFill>
    </fill>
    <fill>
      <patternFill patternType="solid">
        <fgColor theme="6" tint="0.79998168889431442"/>
        <bgColor indexed="64"/>
      </patternFill>
    </fill>
    <fill>
      <patternFill patternType="solid">
        <fgColor theme="2"/>
        <bgColor indexed="64"/>
      </patternFill>
    </fill>
    <fill>
      <patternFill patternType="solid">
        <fgColor theme="5" tint="0.79998168889431442"/>
        <bgColor indexed="65"/>
      </patternFill>
    </fill>
    <fill>
      <patternFill patternType="solid">
        <fgColor theme="5" tint="0.39997558519241921"/>
        <bgColor indexed="65"/>
      </patternFill>
    </fill>
    <fill>
      <patternFill patternType="solid">
        <fgColor theme="7" tint="0.79998168889431442"/>
        <bgColor indexed="65"/>
      </patternFill>
    </fill>
    <fill>
      <patternFill patternType="solid">
        <fgColor theme="7" tint="0.39997558519241921"/>
        <bgColor indexed="65"/>
      </patternFill>
    </fill>
    <fill>
      <patternFill patternType="solid">
        <fgColor theme="9" tint="0.79998168889431442"/>
        <bgColor indexed="65"/>
      </patternFill>
    </fill>
    <fill>
      <patternFill patternType="solid">
        <fgColor theme="9" tint="0.39997558519241921"/>
        <bgColor indexed="65"/>
      </patternFill>
    </fill>
    <fill>
      <patternFill patternType="solid">
        <fgColor theme="6"/>
      </patternFill>
    </fill>
    <fill>
      <patternFill patternType="solid">
        <fgColor theme="4" tint="0.79998168889431442"/>
        <bgColor indexed="64"/>
      </patternFill>
    </fill>
    <fill>
      <patternFill patternType="solid">
        <fgColor theme="0" tint="-4.9989318521683403E-2"/>
        <bgColor indexed="64"/>
      </patternFill>
    </fill>
  </fills>
  <borders count="16">
    <border>
      <left/>
      <right/>
      <top/>
      <bottom/>
      <diagonal/>
    </border>
    <border>
      <left style="thin">
        <color auto="1"/>
      </left>
      <right style="thin">
        <color auto="1"/>
      </right>
      <top style="thin">
        <color auto="1"/>
      </top>
      <bottom style="thin">
        <color auto="1"/>
      </bottom>
      <diagonal/>
    </border>
    <border>
      <left/>
      <right/>
      <top/>
      <bottom style="thick">
        <color theme="4"/>
      </bottom>
      <diagonal/>
    </border>
    <border>
      <left/>
      <right/>
      <top/>
      <bottom style="medium">
        <color theme="4" tint="0.39997558519241921"/>
      </bottom>
      <diagonal/>
    </border>
    <border>
      <left style="medium">
        <color indexed="64"/>
      </left>
      <right/>
      <top/>
      <bottom/>
      <diagonal/>
    </border>
    <border>
      <left/>
      <right style="medium">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top style="thin">
        <color auto="1"/>
      </top>
      <bottom/>
      <diagonal/>
    </border>
    <border>
      <left style="thin">
        <color auto="1"/>
      </left>
      <right style="thin">
        <color auto="1"/>
      </right>
      <top style="thin">
        <color auto="1"/>
      </top>
      <bottom/>
      <diagonal/>
    </border>
  </borders>
  <cellStyleXfs count="15">
    <xf numFmtId="0" fontId="0" fillId="0" borderId="0"/>
    <xf numFmtId="0" fontId="2" fillId="0" borderId="0" applyBorder="0" applyAlignment="0" applyProtection="0"/>
    <xf numFmtId="164" fontId="2" fillId="0" borderId="0" applyBorder="0" applyAlignment="0" applyProtection="0"/>
    <xf numFmtId="0" fontId="3" fillId="0" borderId="0" applyBorder="0" applyProtection="0">
      <alignment horizontal="center"/>
    </xf>
    <xf numFmtId="0" fontId="3" fillId="0" borderId="0" applyBorder="0" applyProtection="0">
      <alignment horizontal="center" textRotation="90"/>
    </xf>
    <xf numFmtId="0" fontId="4" fillId="2" borderId="0" applyBorder="0" applyAlignment="0" applyProtection="0"/>
    <xf numFmtId="0" fontId="9" fillId="0" borderId="2" applyNumberFormat="0" applyFill="0" applyAlignment="0" applyProtection="0"/>
    <xf numFmtId="0" fontId="10" fillId="0" borderId="3" applyNumberFormat="0" applyFill="0" applyAlignment="0" applyProtection="0"/>
    <xf numFmtId="0" fontId="1" fillId="8" borderId="0" applyNumberFormat="0" applyBorder="0" applyAlignment="0" applyProtection="0"/>
    <xf numFmtId="0" fontId="14" fillId="9" borderId="0" applyNumberFormat="0" applyBorder="0" applyAlignment="0" applyProtection="0"/>
    <xf numFmtId="0" fontId="1" fillId="10" borderId="0" applyNumberFormat="0" applyBorder="0" applyAlignment="0" applyProtection="0"/>
    <xf numFmtId="0" fontId="14" fillId="11" borderId="0" applyNumberFormat="0" applyBorder="0" applyAlignment="0" applyProtection="0"/>
    <xf numFmtId="0" fontId="1" fillId="12" borderId="0" applyNumberFormat="0" applyBorder="0" applyAlignment="0" applyProtection="0"/>
    <xf numFmtId="0" fontId="14" fillId="13" borderId="0" applyNumberFormat="0" applyBorder="0" applyAlignment="0" applyProtection="0"/>
    <xf numFmtId="0" fontId="17" fillId="0" borderId="0" applyNumberFormat="0" applyFill="0" applyBorder="0" applyAlignment="0" applyProtection="0"/>
  </cellStyleXfs>
  <cellXfs count="57">
    <xf numFmtId="0" fontId="0" fillId="0" borderId="0" xfId="0"/>
    <xf numFmtId="0" fontId="5" fillId="0" borderId="0" xfId="0" applyFont="1" applyAlignment="1">
      <alignment horizontal="center" vertical="center"/>
    </xf>
    <xf numFmtId="0" fontId="5" fillId="0" borderId="0" xfId="0" applyFont="1" applyAlignment="1">
      <alignment horizontal="right" vertical="center"/>
    </xf>
    <xf numFmtId="2" fontId="5" fillId="0" borderId="0" xfId="0" applyNumberFormat="1" applyFont="1" applyAlignment="1">
      <alignment horizontal="center" vertical="center"/>
    </xf>
    <xf numFmtId="0" fontId="0" fillId="0" borderId="0" xfId="0" applyAlignment="1">
      <alignment horizontal="left" vertical="top"/>
    </xf>
    <xf numFmtId="0" fontId="0" fillId="0" borderId="0" xfId="0" applyFont="1" applyAlignment="1">
      <alignment horizontal="left" vertical="center"/>
    </xf>
    <xf numFmtId="0" fontId="0" fillId="6" borderId="0" xfId="0" applyFill="1" applyAlignment="1">
      <alignment horizontal="left" vertical="top" wrapText="1"/>
    </xf>
    <xf numFmtId="0" fontId="0" fillId="6" borderId="0" xfId="0" applyFont="1" applyFill="1" applyAlignment="1">
      <alignment horizontal="left" vertical="top" wrapText="1"/>
    </xf>
    <xf numFmtId="0" fontId="10" fillId="6" borderId="3" xfId="7" applyFill="1" applyAlignment="1">
      <alignment horizontal="left" vertical="top" wrapText="1"/>
    </xf>
    <xf numFmtId="14" fontId="0" fillId="0" borderId="4" xfId="0" applyNumberFormat="1" applyBorder="1" applyAlignment="1">
      <alignment horizontal="right" indent="1"/>
    </xf>
    <xf numFmtId="0" fontId="0" fillId="0" borderId="0" xfId="0" applyBorder="1" applyAlignment="1">
      <alignment horizontal="right" indent="1"/>
    </xf>
    <xf numFmtId="2" fontId="0" fillId="0" borderId="5" xfId="0" applyNumberFormat="1" applyBorder="1" applyAlignment="1">
      <alignment horizontal="right" indent="1"/>
    </xf>
    <xf numFmtId="14" fontId="11" fillId="0" borderId="4" xfId="0" applyNumberFormat="1" applyFont="1" applyBorder="1" applyAlignment="1">
      <alignment horizontal="right" indent="1"/>
    </xf>
    <xf numFmtId="0" fontId="11" fillId="0" borderId="0" xfId="0" applyFont="1" applyBorder="1" applyAlignment="1">
      <alignment horizontal="right" indent="1"/>
    </xf>
    <xf numFmtId="2" fontId="11" fillId="0" borderId="5" xfId="0" applyNumberFormat="1" applyFont="1" applyBorder="1" applyAlignment="1">
      <alignment horizontal="right" indent="1"/>
    </xf>
    <xf numFmtId="0" fontId="0" fillId="0" borderId="0" xfId="0" applyBorder="1"/>
    <xf numFmtId="0" fontId="8" fillId="3" borderId="6" xfId="0" applyFont="1" applyFill="1" applyBorder="1" applyAlignment="1">
      <alignment horizontal="center" vertical="center"/>
    </xf>
    <xf numFmtId="0" fontId="8" fillId="3" borderId="7" xfId="0" applyFont="1" applyFill="1" applyBorder="1" applyAlignment="1">
      <alignment horizontal="center" vertical="center"/>
    </xf>
    <xf numFmtId="2" fontId="8" fillId="3" borderId="7" xfId="0" applyNumberFormat="1" applyFont="1" applyFill="1" applyBorder="1" applyAlignment="1">
      <alignment horizontal="center" vertical="center"/>
    </xf>
    <xf numFmtId="0" fontId="8" fillId="3" borderId="8" xfId="0" applyFont="1" applyFill="1" applyBorder="1" applyAlignment="1">
      <alignment horizontal="center" vertical="center"/>
    </xf>
    <xf numFmtId="0" fontId="6" fillId="4" borderId="9" xfId="0" applyFont="1" applyFill="1" applyBorder="1" applyAlignment="1">
      <alignment horizontal="right" vertical="center" indent="1"/>
    </xf>
    <xf numFmtId="0" fontId="6" fillId="4" borderId="10" xfId="0" applyFont="1" applyFill="1" applyBorder="1" applyAlignment="1">
      <alignment horizontal="right" vertical="center" indent="1"/>
    </xf>
    <xf numFmtId="4" fontId="6" fillId="4" borderId="10" xfId="0" applyNumberFormat="1" applyFont="1" applyFill="1" applyBorder="1" applyAlignment="1">
      <alignment horizontal="right" vertical="center" indent="1"/>
    </xf>
    <xf numFmtId="4" fontId="6" fillId="4" borderId="11" xfId="0" applyNumberFormat="1" applyFont="1" applyFill="1" applyBorder="1" applyAlignment="1">
      <alignment horizontal="right" vertical="center" indent="1"/>
    </xf>
    <xf numFmtId="0" fontId="0" fillId="0" borderId="0" xfId="0" applyFill="1"/>
    <xf numFmtId="0" fontId="7" fillId="5" borderId="14" xfId="0" applyFont="1" applyFill="1" applyBorder="1" applyAlignment="1">
      <alignment horizontal="center" vertical="center"/>
    </xf>
    <xf numFmtId="0" fontId="7" fillId="5" borderId="13" xfId="0" applyFont="1" applyFill="1" applyBorder="1" applyAlignment="1">
      <alignment horizontal="center" vertical="center"/>
    </xf>
    <xf numFmtId="0" fontId="13" fillId="0" borderId="0" xfId="0" applyFont="1"/>
    <xf numFmtId="0" fontId="15" fillId="10" borderId="15" xfId="10" applyNumberFormat="1" applyFont="1" applyBorder="1" applyAlignment="1">
      <alignment horizontal="center" vertical="center"/>
    </xf>
    <xf numFmtId="0" fontId="15" fillId="10" borderId="1" xfId="10" applyFont="1" applyBorder="1" applyAlignment="1">
      <alignment horizontal="center" vertical="center"/>
    </xf>
    <xf numFmtId="2" fontId="15" fillId="8" borderId="1" xfId="8" applyNumberFormat="1" applyFont="1" applyBorder="1" applyAlignment="1">
      <alignment horizontal="center" vertical="center"/>
    </xf>
    <xf numFmtId="0" fontId="15" fillId="12" borderId="1" xfId="12" applyFont="1" applyBorder="1" applyAlignment="1">
      <alignment horizontal="center" vertical="center"/>
    </xf>
    <xf numFmtId="2" fontId="15" fillId="12" borderId="1" xfId="12" applyNumberFormat="1" applyFont="1" applyBorder="1" applyAlignment="1">
      <alignment horizontal="right" vertical="center"/>
    </xf>
    <xf numFmtId="0" fontId="16" fillId="9" borderId="1" xfId="9" applyFont="1" applyBorder="1" applyAlignment="1">
      <alignment horizontal="center" vertical="center"/>
    </xf>
    <xf numFmtId="0" fontId="16" fillId="13" borderId="1" xfId="13" applyFont="1" applyBorder="1" applyAlignment="1">
      <alignment horizontal="center" vertical="center"/>
    </xf>
    <xf numFmtId="0" fontId="9" fillId="6" borderId="2" xfId="6" applyFill="1" applyAlignment="1">
      <alignment horizontal="center" vertical="center" wrapText="1"/>
    </xf>
    <xf numFmtId="0" fontId="16" fillId="11" borderId="13" xfId="11" applyFont="1" applyBorder="1" applyAlignment="1">
      <alignment horizontal="center" vertical="center"/>
    </xf>
    <xf numFmtId="0" fontId="16" fillId="11" borderId="12" xfId="11" applyFont="1" applyBorder="1" applyAlignment="1">
      <alignment horizontal="center" vertical="center"/>
    </xf>
    <xf numFmtId="0" fontId="16" fillId="13" borderId="1" xfId="13" applyFont="1" applyBorder="1" applyAlignment="1">
      <alignment horizontal="center" vertical="center"/>
    </xf>
    <xf numFmtId="0" fontId="0" fillId="7" borderId="0" xfId="0" applyFont="1" applyFill="1" applyAlignment="1">
      <alignment vertical="center"/>
    </xf>
    <xf numFmtId="0" fontId="0" fillId="15" borderId="0" xfId="0" applyFill="1"/>
    <xf numFmtId="0" fontId="0" fillId="0" borderId="0" xfId="0" applyFill="1" applyBorder="1"/>
    <xf numFmtId="0" fontId="0" fillId="0" borderId="0" xfId="0" applyFill="1" applyAlignment="1">
      <alignment horizontal="left"/>
    </xf>
    <xf numFmtId="0" fontId="0" fillId="0" borderId="0" xfId="0" applyNumberFormat="1" applyFill="1"/>
    <xf numFmtId="0" fontId="3" fillId="0" borderId="0" xfId="3" applyFill="1" applyBorder="1">
      <alignment horizontal="center"/>
    </xf>
    <xf numFmtId="0" fontId="17" fillId="0" borderId="0" xfId="14" applyFill="1" applyBorder="1" applyAlignment="1">
      <alignment horizontal="center"/>
    </xf>
    <xf numFmtId="0" fontId="0" fillId="15" borderId="0" xfId="0" applyFill="1" applyAlignment="1">
      <alignment horizontal="left"/>
    </xf>
    <xf numFmtId="0" fontId="0" fillId="15" borderId="0" xfId="0" applyNumberFormat="1" applyFill="1"/>
    <xf numFmtId="14" fontId="0" fillId="15" borderId="0" xfId="0" applyNumberFormat="1" applyFill="1" applyAlignment="1">
      <alignment horizontal="left" indent="1"/>
    </xf>
    <xf numFmtId="2" fontId="0" fillId="15" borderId="0" xfId="0" applyNumberFormat="1" applyFill="1"/>
    <xf numFmtId="0" fontId="0" fillId="16" borderId="0" xfId="0" applyFill="1"/>
    <xf numFmtId="0" fontId="0" fillId="16" borderId="0" xfId="0" applyFill="1" applyAlignment="1">
      <alignment horizontal="left"/>
    </xf>
    <xf numFmtId="0" fontId="0" fillId="16" borderId="0" xfId="0" applyNumberFormat="1" applyFill="1"/>
    <xf numFmtId="14" fontId="0" fillId="16" borderId="0" xfId="0" applyNumberFormat="1" applyFill="1" applyAlignment="1">
      <alignment horizontal="left" indent="1"/>
    </xf>
    <xf numFmtId="0" fontId="8" fillId="16" borderId="0" xfId="0" applyFont="1" applyFill="1"/>
    <xf numFmtId="0" fontId="14" fillId="14" borderId="0" xfId="0" applyFont="1" applyFill="1" applyAlignment="1">
      <alignment horizontal="left"/>
    </xf>
    <xf numFmtId="0" fontId="14" fillId="14" borderId="0" xfId="0" applyNumberFormat="1" applyFont="1" applyFill="1"/>
  </cellXfs>
  <cellStyles count="15">
    <cellStyle name="20% - Accent2" xfId="8" builtinId="34"/>
    <cellStyle name="20% - Accent4" xfId="10" builtinId="42"/>
    <cellStyle name="20% - Accent6" xfId="12" builtinId="50"/>
    <cellStyle name="60% - Accent2" xfId="9" builtinId="36"/>
    <cellStyle name="60% - Accent4" xfId="11" builtinId="44"/>
    <cellStyle name="60% - Accent6" xfId="13" builtinId="52"/>
    <cellStyle name="Explanatory Text" xfId="14" builtinId="53"/>
    <cellStyle name="Heading 1" xfId="6" builtinId="16"/>
    <cellStyle name="Heading 3" xfId="7" builtinId="18"/>
    <cellStyle name="Normal" xfId="0" builtinId="0"/>
    <cellStyle name="Resultado" xfId="1"/>
    <cellStyle name="Resultado2" xfId="2"/>
    <cellStyle name="Sin título1" xfId="5"/>
    <cellStyle name="Título" xfId="3"/>
    <cellStyle name="Título1" xfId="4"/>
  </cellStyles>
  <dxfs count="263">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ont>
        <color theme="1"/>
      </font>
    </dxf>
    <dxf>
      <font>
        <color theme="1"/>
      </font>
    </dxf>
    <dxf>
      <font>
        <color theme="1"/>
      </font>
    </dxf>
    <dxf>
      <font>
        <b val="0"/>
        <i val="0"/>
        <strike val="0"/>
        <condense val="0"/>
        <extend val="0"/>
        <outline val="0"/>
        <shadow val="0"/>
        <u val="none"/>
        <vertAlign val="baseline"/>
        <sz val="11"/>
        <color theme="0"/>
        <name val="Calibri"/>
        <scheme val="minor"/>
      </font>
      <fill>
        <patternFill patternType="solid">
          <fgColor indexed="65"/>
          <bgColor theme="6"/>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font>
        <b val="0"/>
        <i val="0"/>
        <strike val="0"/>
        <condense val="0"/>
        <extend val="0"/>
        <outline val="0"/>
        <shadow val="0"/>
        <u val="none"/>
        <vertAlign val="baseline"/>
        <sz val="11"/>
        <color auto="1"/>
        <name val="Arial"/>
        <scheme val="none"/>
      </font>
      <numFmt numFmtId="0" formatCode="General"/>
      <alignment horizontal="right" vertical="center" textRotation="0" wrapText="0" indent="1"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auto="1"/>
        <name val="Arial"/>
        <scheme val="none"/>
      </font>
      <numFmt numFmtId="2" formatCode="0.00"/>
      <alignment horizontal="right" vertical="center" textRotation="0" wrapText="0" indent="1" justifyLastLine="0" shrinkToFit="0" readingOrder="0"/>
    </dxf>
    <dxf>
      <font>
        <b val="0"/>
        <i val="0"/>
        <strike val="0"/>
        <condense val="0"/>
        <extend val="0"/>
        <outline val="0"/>
        <shadow val="0"/>
        <u val="none"/>
        <vertAlign val="baseline"/>
        <sz val="11"/>
        <color auto="1"/>
        <name val="Arial"/>
        <scheme val="none"/>
      </font>
      <numFmt numFmtId="166" formatCode="#,###.00"/>
      <alignment horizontal="right" vertical="center" textRotation="0" wrapText="0" indent="1" justifyLastLine="0" shrinkToFit="0" readingOrder="0"/>
    </dxf>
    <dxf>
      <font>
        <b val="0"/>
        <i val="0"/>
        <strike val="0"/>
        <condense val="0"/>
        <extend val="0"/>
        <outline val="0"/>
        <shadow val="0"/>
        <u val="none"/>
        <vertAlign val="baseline"/>
        <sz val="11"/>
        <color auto="1"/>
        <name val="Arial"/>
        <scheme val="none"/>
      </font>
      <numFmt numFmtId="2" formatCode="0.00"/>
      <alignment horizontal="right" vertical="center" textRotation="0" wrapText="0" indent="1" justifyLastLine="0" shrinkToFit="0" readingOrder="0"/>
    </dxf>
    <dxf>
      <font>
        <b val="0"/>
        <i val="0"/>
        <strike val="0"/>
        <condense val="0"/>
        <extend val="0"/>
        <outline val="0"/>
        <shadow val="0"/>
        <u val="none"/>
        <vertAlign val="baseline"/>
        <sz val="11"/>
        <color auto="1"/>
        <name val="Arial"/>
        <scheme val="none"/>
      </font>
      <numFmt numFmtId="2" formatCode="0.00"/>
      <alignment horizontal="right" vertical="center" textRotation="0" wrapText="0" indent="1" justifyLastLine="0" shrinkToFit="0" readingOrder="0"/>
    </dxf>
    <dxf>
      <font>
        <b val="0"/>
        <i val="0"/>
        <strike val="0"/>
        <condense val="0"/>
        <extend val="0"/>
        <outline val="0"/>
        <shadow val="0"/>
        <u val="none"/>
        <vertAlign val="baseline"/>
        <sz val="11"/>
        <color auto="1"/>
        <name val="Arial"/>
        <scheme val="none"/>
      </font>
      <numFmt numFmtId="2" formatCode="0.00"/>
      <alignment horizontal="right" vertical="center" textRotation="0" wrapText="0" indent="1" justifyLastLine="0" shrinkToFit="0" readingOrder="0"/>
    </dxf>
    <dxf>
      <font>
        <b val="0"/>
        <i val="0"/>
        <strike val="0"/>
        <condense val="0"/>
        <extend val="0"/>
        <outline val="0"/>
        <shadow val="0"/>
        <u val="none"/>
        <vertAlign val="baseline"/>
        <sz val="11"/>
        <color auto="1"/>
        <name val="Arial"/>
        <scheme val="none"/>
      </font>
      <alignment horizontal="right" vertical="center" textRotation="0" wrapText="0" indent="1" justifyLastLine="0" shrinkToFit="0" readingOrder="0"/>
    </dxf>
    <dxf>
      <font>
        <b val="0"/>
        <i val="0"/>
        <strike val="0"/>
        <condense val="0"/>
        <extend val="0"/>
        <outline val="0"/>
        <shadow val="0"/>
        <u val="none"/>
        <vertAlign val="baseline"/>
        <sz val="11"/>
        <color auto="1"/>
        <name val="Arial"/>
        <scheme val="none"/>
      </font>
      <numFmt numFmtId="19" formatCode="dd/mm/yyyy"/>
      <alignment horizontal="right" vertical="center" textRotation="0" wrapText="0" indent="1"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auto="1"/>
        <name val="Arial"/>
        <scheme val="none"/>
      </font>
      <alignment horizontal="right" vertical="center" textRotation="0" wrapText="0" indent="0" justifyLastLine="0" shrinkToFit="0" readingOrder="0"/>
    </dxf>
    <dxf>
      <font>
        <b val="0"/>
        <i val="0"/>
        <strike val="0"/>
        <condense val="0"/>
        <extend val="0"/>
        <outline val="0"/>
        <shadow val="0"/>
        <u val="none"/>
        <vertAlign val="baseline"/>
        <sz val="10"/>
        <color theme="1"/>
        <name val="Arial"/>
        <scheme val="none"/>
      </font>
      <fill>
        <patternFill patternType="solid">
          <fgColor rgb="FFFFFF00"/>
          <bgColor rgb="FFFFFF00"/>
        </patternFill>
      </fill>
      <alignment horizontal="center" vertical="center" textRotation="0" wrapText="0" indent="0" justifyLastLine="0" shrinkToFit="0" readingOrder="0"/>
      <border diagonalUp="0" diagonalDown="0" outline="0">
        <left style="hair">
          <color auto="1"/>
        </left>
        <right style="hair">
          <color auto="1"/>
        </right>
        <top/>
        <bottom/>
      </border>
    </dxf>
    <dxf>
      <fill>
        <patternFill>
          <bgColor theme="5" tint="0.79998168889431442"/>
        </patternFill>
      </fill>
    </dxf>
    <dxf>
      <fill>
        <patternFill>
          <bgColor theme="6" tint="0.79998168889431442"/>
        </patternFill>
      </fill>
    </dxf>
    <dxf>
      <fill>
        <patternFill>
          <bgColor theme="7" tint="0.79998168889431442"/>
        </patternFill>
      </fill>
    </dxf>
    <dxf>
      <fill>
        <patternFill>
          <bgColor theme="8" tint="0.79998168889431442"/>
        </patternFill>
      </fill>
    </dxf>
    <dxf>
      <fill>
        <patternFill>
          <bgColor theme="9" tint="0.79998168889431442"/>
        </patternFill>
      </fill>
    </dxf>
    <dxf>
      <fill>
        <patternFill>
          <bgColor theme="3" tint="0.79998168889431442"/>
        </patternFill>
      </fill>
    </dxf>
    <dxf>
      <fill>
        <patternFill>
          <bgColor theme="5" tint="0.59996337778862885"/>
        </patternFill>
      </fill>
    </dxf>
    <dxf>
      <fill>
        <patternFill>
          <bgColor theme="4" tint="0.59996337778862885"/>
        </patternFill>
      </fill>
    </dxf>
    <dxf>
      <fill>
        <patternFill>
          <bgColor theme="2" tint="-9.9948118533890809E-2"/>
        </patternFill>
      </fill>
    </dxf>
    <dxf>
      <fill>
        <patternFill>
          <bgColor theme="9" tint="0.79998168889431442"/>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9999FF"/>
      <rgbColor rgb="FF993366"/>
      <rgbColor rgb="FFFFF685"/>
      <rgbColor rgb="FFCCFFFF"/>
      <rgbColor rgb="FF660066"/>
      <rgbColor rgb="FFFF8080"/>
      <rgbColor rgb="FF0066CC"/>
      <rgbColor rgb="FFBCE4E5"/>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8AA97"/>
      <rgbColor rgb="FFCC99FF"/>
      <rgbColor rgb="FFFDB94D"/>
      <rgbColor rgb="FF3366FF"/>
      <rgbColor rgb="FF33CCCC"/>
      <rgbColor rgb="FF8AE234"/>
      <rgbColor rgb="FFFFCC00"/>
      <rgbColor rgb="FFFF9900"/>
      <rgbColor rgb="FFFF6600"/>
      <rgbColor rgb="FF666699"/>
      <rgbColor rgb="FF969696"/>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[TablasDinamicasMacrosyGraficas.xlsm]Litros-Dinero!PivotTable1</c:name>
    <c:fmtId val="1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Consumos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s>
    <c:plotArea>
      <c:layout>
        <c:manualLayout>
          <c:layoutTarget val="inner"/>
          <c:xMode val="edge"/>
          <c:yMode val="edge"/>
          <c:x val="4.8028844879238579E-2"/>
          <c:y val="8.0155019685039366E-2"/>
          <c:w val="0.77417288356196856"/>
          <c:h val="0.68245017449741863"/>
        </c:manualLayout>
      </c:layout>
      <c:barChart>
        <c:barDir val="col"/>
        <c:grouping val="clustered"/>
        <c:varyColors val="0"/>
        <c:ser>
          <c:idx val="0"/>
          <c:order val="0"/>
          <c:tx>
            <c:strRef>
              <c:f>'Litros-Dinero'!$B$1</c:f>
              <c:strCache>
                <c:ptCount val="1"/>
                <c:pt idx="0">
                  <c:v>Total Litros</c:v>
                </c:pt>
              </c:strCache>
            </c:strRef>
          </c:tx>
          <c:spPr>
            <a:solidFill>
              <a:schemeClr val="accent1"/>
            </a:solidFill>
            <a:ln>
              <a:noFill/>
            </a:ln>
            <a:effectLst/>
          </c:spPr>
          <c:invertIfNegative val="0"/>
          <c:cat>
            <c:strRef>
              <c:f>'Litros-Dinero'!$A$2:$A$11</c:f>
              <c:strCache>
                <c:ptCount val="9"/>
                <c:pt idx="0">
                  <c:v>2011</c:v>
                </c:pt>
                <c:pt idx="1">
                  <c:v>2012</c:v>
                </c:pt>
                <c:pt idx="2">
                  <c:v>2013</c:v>
                </c:pt>
                <c:pt idx="3">
                  <c:v>2014</c:v>
                </c:pt>
                <c:pt idx="4">
                  <c:v>2015</c:v>
                </c:pt>
                <c:pt idx="5">
                  <c:v>2016</c:v>
                </c:pt>
                <c:pt idx="6">
                  <c:v>2017</c:v>
                </c:pt>
                <c:pt idx="7">
                  <c:v>2018</c:v>
                </c:pt>
                <c:pt idx="8">
                  <c:v>2019</c:v>
                </c:pt>
              </c:strCache>
            </c:strRef>
          </c:cat>
          <c:val>
            <c:numRef>
              <c:f>'Litros-Dinero'!$B$2:$B$11</c:f>
              <c:numCache>
                <c:formatCode>General</c:formatCode>
                <c:ptCount val="9"/>
                <c:pt idx="0">
                  <c:v>61.38</c:v>
                </c:pt>
                <c:pt idx="1">
                  <c:v>67</c:v>
                </c:pt>
                <c:pt idx="2">
                  <c:v>26.07</c:v>
                </c:pt>
                <c:pt idx="3">
                  <c:v>18.73</c:v>
                </c:pt>
                <c:pt idx="4">
                  <c:v>18.73</c:v>
                </c:pt>
                <c:pt idx="5">
                  <c:v>75.33</c:v>
                </c:pt>
                <c:pt idx="6">
                  <c:v>111.04999999999998</c:v>
                </c:pt>
                <c:pt idx="7">
                  <c:v>102.73000000000002</c:v>
                </c:pt>
                <c:pt idx="8">
                  <c:v>46.38000000000001</c:v>
                </c:pt>
              </c:numCache>
            </c:numRef>
          </c:val>
          <c:extLst>
            <c:ext xmlns:c16="http://schemas.microsoft.com/office/drawing/2014/chart" uri="{C3380CC4-5D6E-409C-BE32-E72D297353CC}">
              <c16:uniqueId val="{00000000-F7D2-4B72-AD0F-77573894D61C}"/>
            </c:ext>
          </c:extLst>
        </c:ser>
        <c:ser>
          <c:idx val="1"/>
          <c:order val="1"/>
          <c:tx>
            <c:strRef>
              <c:f>'Litros-Dinero'!$C$1</c:f>
              <c:strCache>
                <c:ptCount val="1"/>
                <c:pt idx="0">
                  <c:v>Total Dinero</c:v>
                </c:pt>
              </c:strCache>
            </c:strRef>
          </c:tx>
          <c:spPr>
            <a:solidFill>
              <a:schemeClr val="accent2"/>
            </a:solidFill>
            <a:ln>
              <a:noFill/>
            </a:ln>
            <a:effectLst/>
          </c:spPr>
          <c:invertIfNegative val="0"/>
          <c:cat>
            <c:strRef>
              <c:f>'Litros-Dinero'!$A$2:$A$11</c:f>
              <c:strCache>
                <c:ptCount val="9"/>
                <c:pt idx="0">
                  <c:v>2011</c:v>
                </c:pt>
                <c:pt idx="1">
                  <c:v>2012</c:v>
                </c:pt>
                <c:pt idx="2">
                  <c:v>2013</c:v>
                </c:pt>
                <c:pt idx="3">
                  <c:v>2014</c:v>
                </c:pt>
                <c:pt idx="4">
                  <c:v>2015</c:v>
                </c:pt>
                <c:pt idx="5">
                  <c:v>2016</c:v>
                </c:pt>
                <c:pt idx="6">
                  <c:v>2017</c:v>
                </c:pt>
                <c:pt idx="7">
                  <c:v>2018</c:v>
                </c:pt>
                <c:pt idx="8">
                  <c:v>2019</c:v>
                </c:pt>
              </c:strCache>
            </c:strRef>
          </c:cat>
          <c:val>
            <c:numRef>
              <c:f>'Litros-Dinero'!$C$2:$C$11</c:f>
              <c:numCache>
                <c:formatCode>General</c:formatCode>
                <c:ptCount val="9"/>
                <c:pt idx="0">
                  <c:v>79.339999999999989</c:v>
                </c:pt>
                <c:pt idx="1">
                  <c:v>95.649999999999991</c:v>
                </c:pt>
                <c:pt idx="2">
                  <c:v>38.380000000000003</c:v>
                </c:pt>
                <c:pt idx="3">
                  <c:v>28.094999999999999</c:v>
                </c:pt>
                <c:pt idx="4">
                  <c:v>28.094999999999999</c:v>
                </c:pt>
                <c:pt idx="5">
                  <c:v>86.13</c:v>
                </c:pt>
                <c:pt idx="6">
                  <c:v>125</c:v>
                </c:pt>
                <c:pt idx="7">
                  <c:v>125</c:v>
                </c:pt>
                <c:pt idx="8">
                  <c:v>55</c:v>
                </c:pt>
              </c:numCache>
            </c:numRef>
          </c:val>
          <c:extLst>
            <c:ext xmlns:c16="http://schemas.microsoft.com/office/drawing/2014/chart" uri="{C3380CC4-5D6E-409C-BE32-E72D297353CC}">
              <c16:uniqueId val="{00000001-F7D2-4B72-AD0F-77573894D61C}"/>
            </c:ext>
          </c:extLst>
        </c:ser>
        <c:dLbls>
          <c:showLegendKey val="0"/>
          <c:showVal val="0"/>
          <c:showCatName val="0"/>
          <c:showSerName val="0"/>
          <c:showPercent val="0"/>
          <c:showBubbleSize val="0"/>
        </c:dLbls>
        <c:gapWidth val="219"/>
        <c:overlap val="-27"/>
        <c:axId val="452089768"/>
        <c:axId val="452087472"/>
      </c:barChart>
      <c:catAx>
        <c:axId val="4520897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2087472"/>
        <c:crosses val="autoZero"/>
        <c:auto val="1"/>
        <c:lblAlgn val="ctr"/>
        <c:lblOffset val="100"/>
        <c:noMultiLvlLbl val="0"/>
      </c:catAx>
      <c:valAx>
        <c:axId val="452087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2089768"/>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accent2">
        <a:lumMod val="20000"/>
        <a:lumOff val="80000"/>
      </a:schemeClr>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4"/>
    </mc:Choice>
    <mc:Fallback>
      <c:style val="4"/>
    </mc:Fallback>
  </mc:AlternateContent>
  <c:pivotSource>
    <c:name>[TablasDinamicasMacrosyGraficas.xlsm]Litros-Dinero!PivotTable1</c:name>
    <c:fmtId val="29"/>
  </c:pivotSource>
  <c:chart>
    <c:title>
      <c:layout/>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3"/>
        <c:dLbl>
          <c:idx val="0"/>
          <c:dLblPos val="ctr"/>
          <c:showLegendKey val="0"/>
          <c:showVal val="1"/>
          <c:showCatName val="0"/>
          <c:showSerName val="0"/>
          <c:showPercent val="1"/>
          <c:showBubbleSize val="0"/>
          <c:extLst>
            <c:ext xmlns:c15="http://schemas.microsoft.com/office/drawing/2012/chart" uri="{CE6537A1-D6FC-4f65-9D91-7224C49458BB}"/>
          </c:extLst>
        </c:dLbl>
      </c:pivotFmt>
      <c:pivotFmt>
        <c:idx val="4"/>
        <c:dLbl>
          <c:idx val="0"/>
          <c:dLblPos val="ctr"/>
          <c:showLegendKey val="0"/>
          <c:showVal val="1"/>
          <c:showCatName val="0"/>
          <c:showSerName val="0"/>
          <c:showPercent val="1"/>
          <c:showBubbleSize val="0"/>
          <c:extLst>
            <c:ext xmlns:c15="http://schemas.microsoft.com/office/drawing/2012/chart" uri="{CE6537A1-D6FC-4f65-9D91-7224C49458BB}"/>
          </c:extLst>
        </c:dLbl>
      </c:pivotFmt>
      <c:pivotFmt>
        <c:idx val="5"/>
        <c:dLbl>
          <c:idx val="0"/>
          <c:dLblPos val="ctr"/>
          <c:showLegendKey val="0"/>
          <c:showVal val="1"/>
          <c:showCatName val="0"/>
          <c:showSerName val="0"/>
          <c:showPercent val="1"/>
          <c:showBubbleSize val="0"/>
          <c:extLst>
            <c:ext xmlns:c15="http://schemas.microsoft.com/office/drawing/2012/chart" uri="{CE6537A1-D6FC-4f65-9D91-7224C49458BB}"/>
          </c:extLst>
        </c:dLbl>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pivotFmt>
      <c:pivotFmt>
        <c:idx val="22"/>
      </c:pivotFmt>
      <c:pivotFmt>
        <c:idx val="23"/>
      </c:pivotFmt>
      <c:pivotFmt>
        <c:idx val="24"/>
      </c:pivotFmt>
      <c:pivotFmt>
        <c:idx val="25"/>
      </c:pivotFmt>
      <c:pivotFmt>
        <c:idx val="26"/>
      </c:pivotFmt>
      <c:pivotFmt>
        <c:idx val="27"/>
      </c:pivotFmt>
      <c:pivotFmt>
        <c:idx val="28"/>
      </c:pivotFmt>
      <c:pivotFmt>
        <c:idx val="29"/>
      </c:pivotFmt>
      <c:pivotFmt>
        <c:idx val="30"/>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inEnd"/>
          <c:showLegendKey val="0"/>
          <c:showVal val="1"/>
          <c:showCatName val="1"/>
          <c:showSerName val="0"/>
          <c:showPercent val="1"/>
          <c:showBubbleSize val="0"/>
          <c:extLst>
            <c:ext xmlns:c15="http://schemas.microsoft.com/office/drawing/2012/chart" uri="{CE6537A1-D6FC-4f65-9D91-7224C49458BB}"/>
          </c:extLst>
        </c:dLbl>
      </c:pivotFmt>
      <c:pivotFmt>
        <c:idx val="31"/>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inEnd"/>
          <c:showLegendKey val="0"/>
          <c:showVal val="1"/>
          <c:showCatName val="1"/>
          <c:showSerName val="0"/>
          <c:showPercent val="1"/>
          <c:showBubbleSize val="0"/>
          <c:extLst>
            <c:ext xmlns:c15="http://schemas.microsoft.com/office/drawing/2012/chart" uri="{CE6537A1-D6FC-4f65-9D91-7224C49458BB}"/>
          </c:extLst>
        </c:dLbl>
      </c:pivotFmt>
      <c:pivotFmt>
        <c:idx val="32"/>
        <c:spPr>
          <a:solidFill>
            <a:schemeClr val="accent2"/>
          </a:solidFill>
          <a:ln w="19050">
            <a:solidFill>
              <a:schemeClr val="lt1"/>
            </a:solidFill>
          </a:ln>
          <a:effectLst/>
        </c:spPr>
      </c:pivotFmt>
      <c:pivotFmt>
        <c:idx val="33"/>
        <c:spPr>
          <a:solidFill>
            <a:schemeClr val="accent2"/>
          </a:solidFill>
          <a:ln w="19050">
            <a:solidFill>
              <a:schemeClr val="lt1"/>
            </a:solidFill>
          </a:ln>
          <a:effectLst/>
        </c:spPr>
      </c:pivotFmt>
      <c:pivotFmt>
        <c:idx val="34"/>
        <c:spPr>
          <a:solidFill>
            <a:schemeClr val="accent2"/>
          </a:solidFill>
          <a:ln w="19050">
            <a:solidFill>
              <a:schemeClr val="lt1"/>
            </a:solidFill>
          </a:ln>
          <a:effectLst/>
        </c:spPr>
      </c:pivotFmt>
      <c:pivotFmt>
        <c:idx val="35"/>
        <c:spPr>
          <a:solidFill>
            <a:schemeClr val="accent2"/>
          </a:solidFill>
          <a:ln w="19050">
            <a:solidFill>
              <a:schemeClr val="lt1"/>
            </a:solidFill>
          </a:ln>
          <a:effectLst/>
        </c:spPr>
      </c:pivotFmt>
      <c:pivotFmt>
        <c:idx val="36"/>
        <c:spPr>
          <a:solidFill>
            <a:schemeClr val="accent2"/>
          </a:solidFill>
          <a:ln w="19050">
            <a:solidFill>
              <a:schemeClr val="lt1"/>
            </a:solidFill>
          </a:ln>
          <a:effectLst/>
        </c:spPr>
      </c:pivotFmt>
      <c:pivotFmt>
        <c:idx val="37"/>
        <c:spPr>
          <a:solidFill>
            <a:schemeClr val="accent2"/>
          </a:solidFill>
          <a:ln w="19050">
            <a:solidFill>
              <a:schemeClr val="lt1"/>
            </a:solidFill>
          </a:ln>
          <a:effectLst/>
        </c:spPr>
      </c:pivotFmt>
      <c:pivotFmt>
        <c:idx val="38"/>
        <c:spPr>
          <a:solidFill>
            <a:schemeClr val="accent2"/>
          </a:solidFill>
          <a:ln w="19050">
            <a:solidFill>
              <a:schemeClr val="lt1"/>
            </a:solidFill>
          </a:ln>
          <a:effectLst/>
        </c:spPr>
      </c:pivotFmt>
      <c:pivotFmt>
        <c:idx val="39"/>
        <c:spPr>
          <a:solidFill>
            <a:schemeClr val="accent2"/>
          </a:solidFill>
          <a:ln w="19050">
            <a:solidFill>
              <a:schemeClr val="lt1"/>
            </a:solidFill>
          </a:ln>
          <a:effectLst/>
        </c:spPr>
      </c:pivotFmt>
      <c:pivotFmt>
        <c:idx val="40"/>
        <c:spPr>
          <a:solidFill>
            <a:schemeClr val="accent2"/>
          </a:solidFill>
          <a:ln w="19050">
            <a:solidFill>
              <a:schemeClr val="lt1"/>
            </a:solidFill>
          </a:ln>
          <a:effectLst/>
        </c:spPr>
      </c:pivotFmt>
      <c:pivotFmt>
        <c:idx val="41"/>
        <c:spPr>
          <a:solidFill>
            <a:schemeClr val="accent2"/>
          </a:solidFill>
          <a:ln w="19050">
            <a:solidFill>
              <a:schemeClr val="lt1"/>
            </a:solidFill>
          </a:ln>
          <a:effectLst/>
        </c:spPr>
      </c:pivotFmt>
      <c:pivotFmt>
        <c:idx val="42"/>
        <c:spPr>
          <a:solidFill>
            <a:schemeClr val="accent2"/>
          </a:solidFill>
          <a:ln w="19050">
            <a:solidFill>
              <a:schemeClr val="lt1"/>
            </a:solidFill>
          </a:ln>
          <a:effectLst/>
        </c:spPr>
      </c:pivotFmt>
      <c:pivotFmt>
        <c:idx val="43"/>
        <c:spPr>
          <a:solidFill>
            <a:schemeClr val="accent2"/>
          </a:solidFill>
          <a:ln w="19050">
            <a:solidFill>
              <a:schemeClr val="lt1"/>
            </a:solidFill>
          </a:ln>
          <a:effectLst/>
        </c:spPr>
      </c:pivotFmt>
      <c:pivotFmt>
        <c:idx val="44"/>
        <c:spPr>
          <a:solidFill>
            <a:schemeClr val="accent2"/>
          </a:solidFill>
          <a:ln w="19050">
            <a:solidFill>
              <a:schemeClr val="lt1"/>
            </a:solidFill>
          </a:ln>
          <a:effectLst/>
        </c:spPr>
      </c:pivotFmt>
      <c:pivotFmt>
        <c:idx val="45"/>
        <c:spPr>
          <a:solidFill>
            <a:schemeClr val="accent2"/>
          </a:solidFill>
          <a:ln w="19050">
            <a:solidFill>
              <a:schemeClr val="lt1"/>
            </a:solidFill>
          </a:ln>
          <a:effectLst/>
        </c:spPr>
      </c:pivotFmt>
      <c:pivotFmt>
        <c:idx val="46"/>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inEnd"/>
          <c:showLegendKey val="0"/>
          <c:showVal val="1"/>
          <c:showCatName val="1"/>
          <c:showSerName val="0"/>
          <c:showPercent val="1"/>
          <c:showBubbleSize val="0"/>
          <c:extLst>
            <c:ext xmlns:c15="http://schemas.microsoft.com/office/drawing/2012/chart" uri="{CE6537A1-D6FC-4f65-9D91-7224C49458BB}"/>
          </c:extLst>
        </c:dLbl>
      </c:pivotFmt>
      <c:pivotFmt>
        <c:idx val="47"/>
        <c:spPr>
          <a:solidFill>
            <a:schemeClr val="accent2"/>
          </a:solidFill>
          <a:ln w="19050">
            <a:solidFill>
              <a:schemeClr val="lt1"/>
            </a:solidFill>
          </a:ln>
          <a:effectLst/>
        </c:spPr>
      </c:pivotFmt>
      <c:pivotFmt>
        <c:idx val="48"/>
        <c:spPr>
          <a:solidFill>
            <a:schemeClr val="accent2"/>
          </a:solidFill>
          <a:ln w="19050">
            <a:solidFill>
              <a:schemeClr val="lt1"/>
            </a:solidFill>
          </a:ln>
          <a:effectLst/>
        </c:spPr>
      </c:pivotFmt>
      <c:pivotFmt>
        <c:idx val="49"/>
        <c:spPr>
          <a:solidFill>
            <a:schemeClr val="accent2"/>
          </a:solidFill>
          <a:ln w="19050">
            <a:solidFill>
              <a:schemeClr val="lt1"/>
            </a:solidFill>
          </a:ln>
          <a:effectLst/>
        </c:spPr>
      </c:pivotFmt>
      <c:pivotFmt>
        <c:idx val="50"/>
        <c:spPr>
          <a:solidFill>
            <a:schemeClr val="accent2"/>
          </a:solidFill>
          <a:ln w="19050">
            <a:solidFill>
              <a:schemeClr val="lt1"/>
            </a:solidFill>
          </a:ln>
          <a:effectLst/>
        </c:spPr>
      </c:pivotFmt>
      <c:pivotFmt>
        <c:idx val="51"/>
        <c:spPr>
          <a:solidFill>
            <a:schemeClr val="accent2"/>
          </a:solidFill>
          <a:ln w="19050">
            <a:solidFill>
              <a:schemeClr val="lt1"/>
            </a:solidFill>
          </a:ln>
          <a:effectLst/>
        </c:spPr>
      </c:pivotFmt>
      <c:pivotFmt>
        <c:idx val="52"/>
        <c:spPr>
          <a:solidFill>
            <a:schemeClr val="accent2"/>
          </a:solidFill>
          <a:ln w="19050">
            <a:solidFill>
              <a:schemeClr val="lt1"/>
            </a:solidFill>
          </a:ln>
          <a:effectLst/>
        </c:spPr>
      </c:pivotFmt>
      <c:pivotFmt>
        <c:idx val="53"/>
        <c:spPr>
          <a:solidFill>
            <a:schemeClr val="accent2"/>
          </a:solidFill>
          <a:ln w="19050">
            <a:solidFill>
              <a:schemeClr val="lt1"/>
            </a:solidFill>
          </a:ln>
          <a:effectLst/>
        </c:spPr>
      </c:pivotFmt>
      <c:pivotFmt>
        <c:idx val="54"/>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inEnd"/>
          <c:showLegendKey val="0"/>
          <c:showVal val="1"/>
          <c:showCatName val="1"/>
          <c:showSerName val="0"/>
          <c:showPercent val="1"/>
          <c:showBubbleSize val="0"/>
          <c:extLst>
            <c:ext xmlns:c15="http://schemas.microsoft.com/office/drawing/2012/chart" uri="{CE6537A1-D6FC-4f65-9D91-7224C49458BB}"/>
          </c:extLst>
        </c:dLbl>
      </c:pivotFmt>
      <c:pivotFmt>
        <c:idx val="55"/>
        <c:spPr>
          <a:solidFill>
            <a:schemeClr val="accent2"/>
          </a:solidFill>
          <a:ln w="19050">
            <a:solidFill>
              <a:schemeClr val="lt1"/>
            </a:solidFill>
          </a:ln>
          <a:effectLst/>
        </c:spPr>
      </c:pivotFmt>
      <c:pivotFmt>
        <c:idx val="56"/>
        <c:spPr>
          <a:solidFill>
            <a:schemeClr val="accent2"/>
          </a:solidFill>
          <a:ln w="19050">
            <a:solidFill>
              <a:schemeClr val="lt1"/>
            </a:solidFill>
          </a:ln>
          <a:effectLst/>
        </c:spPr>
      </c:pivotFmt>
      <c:pivotFmt>
        <c:idx val="57"/>
        <c:spPr>
          <a:solidFill>
            <a:schemeClr val="accent2"/>
          </a:solidFill>
          <a:ln w="19050">
            <a:solidFill>
              <a:schemeClr val="lt1"/>
            </a:solidFill>
          </a:ln>
          <a:effectLst/>
        </c:spPr>
      </c:pivotFmt>
      <c:pivotFmt>
        <c:idx val="58"/>
        <c:spPr>
          <a:solidFill>
            <a:schemeClr val="accent2"/>
          </a:solidFill>
          <a:ln w="19050">
            <a:solidFill>
              <a:schemeClr val="lt1"/>
            </a:solidFill>
          </a:ln>
          <a:effectLst/>
        </c:spPr>
      </c:pivotFmt>
      <c:pivotFmt>
        <c:idx val="59"/>
        <c:spPr>
          <a:solidFill>
            <a:schemeClr val="accent2"/>
          </a:solidFill>
          <a:ln w="19050">
            <a:solidFill>
              <a:schemeClr val="lt1"/>
            </a:solidFill>
          </a:ln>
          <a:effectLst/>
        </c:spPr>
      </c:pivotFmt>
      <c:pivotFmt>
        <c:idx val="60"/>
        <c:spPr>
          <a:solidFill>
            <a:schemeClr val="accent2"/>
          </a:solidFill>
          <a:ln w="19050">
            <a:solidFill>
              <a:schemeClr val="lt1"/>
            </a:solidFill>
          </a:ln>
          <a:effectLst/>
        </c:spPr>
      </c:pivotFmt>
      <c:pivotFmt>
        <c:idx val="61"/>
        <c:spPr>
          <a:solidFill>
            <a:schemeClr val="accent2"/>
          </a:solidFill>
          <a:ln w="19050">
            <a:solidFill>
              <a:schemeClr val="lt1"/>
            </a:solidFill>
          </a:ln>
          <a:effectLst/>
        </c:spPr>
      </c:pivotFmt>
      <c:pivotFmt>
        <c:idx val="62"/>
        <c:spPr>
          <a:solidFill>
            <a:schemeClr val="accent2"/>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ext>
          </c:extLst>
        </c:dLbl>
      </c:pivotFmt>
      <c:pivotFmt>
        <c:idx val="63"/>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4"/>
        <c:spPr>
          <a:solidFill>
            <a:schemeClr val="accent2">
              <a:shade val="44000"/>
            </a:schemeClr>
          </a:solidFill>
          <a:ln w="19050">
            <a:solidFill>
              <a:schemeClr val="lt1"/>
            </a:solidFill>
          </a:ln>
          <a:effectLst/>
        </c:spPr>
      </c:pivotFmt>
      <c:pivotFmt>
        <c:idx val="65"/>
        <c:spPr>
          <a:solidFill>
            <a:schemeClr val="accent2">
              <a:shade val="58000"/>
            </a:schemeClr>
          </a:solidFill>
          <a:ln w="19050">
            <a:solidFill>
              <a:schemeClr val="lt1"/>
            </a:solidFill>
          </a:ln>
          <a:effectLst/>
        </c:spPr>
      </c:pivotFmt>
      <c:pivotFmt>
        <c:idx val="66"/>
        <c:spPr>
          <a:solidFill>
            <a:schemeClr val="accent2">
              <a:shade val="72000"/>
            </a:schemeClr>
          </a:solidFill>
          <a:ln w="19050">
            <a:solidFill>
              <a:schemeClr val="lt1"/>
            </a:solidFill>
          </a:ln>
          <a:effectLst/>
        </c:spPr>
      </c:pivotFmt>
      <c:pivotFmt>
        <c:idx val="67"/>
        <c:spPr>
          <a:solidFill>
            <a:schemeClr val="accent2">
              <a:shade val="86000"/>
            </a:schemeClr>
          </a:solidFill>
          <a:ln w="19050">
            <a:solidFill>
              <a:schemeClr val="lt1"/>
            </a:solidFill>
          </a:ln>
          <a:effectLst/>
        </c:spPr>
      </c:pivotFmt>
      <c:pivotFmt>
        <c:idx val="68"/>
        <c:spPr>
          <a:solidFill>
            <a:schemeClr val="accent2"/>
          </a:solidFill>
          <a:ln w="19050">
            <a:solidFill>
              <a:schemeClr val="lt1"/>
            </a:solidFill>
          </a:ln>
          <a:effectLst/>
        </c:spPr>
      </c:pivotFmt>
      <c:pivotFmt>
        <c:idx val="69"/>
        <c:spPr>
          <a:solidFill>
            <a:schemeClr val="accent2">
              <a:tint val="86000"/>
            </a:schemeClr>
          </a:solidFill>
          <a:ln w="19050">
            <a:solidFill>
              <a:schemeClr val="lt1"/>
            </a:solidFill>
          </a:ln>
          <a:effectLst/>
        </c:spPr>
      </c:pivotFmt>
      <c:pivotFmt>
        <c:idx val="70"/>
        <c:spPr>
          <a:solidFill>
            <a:schemeClr val="accent2">
              <a:tint val="72000"/>
            </a:schemeClr>
          </a:solidFill>
          <a:ln w="19050">
            <a:solidFill>
              <a:schemeClr val="lt1"/>
            </a:solidFill>
          </a:ln>
          <a:effectLst/>
        </c:spPr>
      </c:pivotFmt>
      <c:pivotFmt>
        <c:idx val="71"/>
        <c:spPr>
          <a:solidFill>
            <a:schemeClr val="accent2">
              <a:tint val="58000"/>
            </a:schemeClr>
          </a:solidFill>
          <a:ln w="19050">
            <a:solidFill>
              <a:schemeClr val="lt1"/>
            </a:solidFill>
          </a:ln>
          <a:effectLst/>
        </c:spPr>
      </c:pivotFmt>
      <c:pivotFmt>
        <c:idx val="72"/>
        <c:spPr>
          <a:solidFill>
            <a:schemeClr val="accent2">
              <a:tint val="44000"/>
            </a:schemeClr>
          </a:solidFill>
          <a:ln w="19050">
            <a:solidFill>
              <a:schemeClr val="lt1"/>
            </a:solidFill>
          </a:ln>
          <a:effectLst/>
        </c:spPr>
      </c:pivotFmt>
      <c:pivotFmt>
        <c:idx val="73"/>
        <c:spPr>
          <a:solidFill>
            <a:schemeClr val="accent2">
              <a:shade val="44000"/>
            </a:schemeClr>
          </a:solidFill>
          <a:ln w="19050">
            <a:solidFill>
              <a:schemeClr val="lt1"/>
            </a:solidFill>
          </a:ln>
          <a:effectLst/>
        </c:spPr>
      </c:pivotFmt>
      <c:pivotFmt>
        <c:idx val="74"/>
        <c:spPr>
          <a:solidFill>
            <a:schemeClr val="accent2">
              <a:shade val="58000"/>
            </a:schemeClr>
          </a:solidFill>
          <a:ln w="19050">
            <a:solidFill>
              <a:schemeClr val="lt1"/>
            </a:solidFill>
          </a:ln>
          <a:effectLst/>
        </c:spPr>
      </c:pivotFmt>
      <c:pivotFmt>
        <c:idx val="75"/>
        <c:spPr>
          <a:solidFill>
            <a:schemeClr val="accent2">
              <a:shade val="72000"/>
            </a:schemeClr>
          </a:solidFill>
          <a:ln w="19050">
            <a:solidFill>
              <a:schemeClr val="lt1"/>
            </a:solidFill>
          </a:ln>
          <a:effectLst/>
        </c:spPr>
      </c:pivotFmt>
      <c:pivotFmt>
        <c:idx val="76"/>
        <c:spPr>
          <a:solidFill>
            <a:schemeClr val="accent2">
              <a:shade val="86000"/>
            </a:schemeClr>
          </a:solidFill>
          <a:ln w="19050">
            <a:solidFill>
              <a:schemeClr val="lt1"/>
            </a:solidFill>
          </a:ln>
          <a:effectLst/>
        </c:spPr>
      </c:pivotFmt>
      <c:pivotFmt>
        <c:idx val="77"/>
        <c:spPr>
          <a:solidFill>
            <a:schemeClr val="accent2"/>
          </a:solidFill>
          <a:ln w="19050">
            <a:solidFill>
              <a:schemeClr val="lt1"/>
            </a:solidFill>
          </a:ln>
          <a:effectLst/>
        </c:spPr>
      </c:pivotFmt>
      <c:pivotFmt>
        <c:idx val="78"/>
        <c:spPr>
          <a:solidFill>
            <a:schemeClr val="accent2">
              <a:tint val="86000"/>
            </a:schemeClr>
          </a:solidFill>
          <a:ln w="19050">
            <a:solidFill>
              <a:schemeClr val="lt1"/>
            </a:solidFill>
          </a:ln>
          <a:effectLst/>
        </c:spPr>
      </c:pivotFmt>
      <c:pivotFmt>
        <c:idx val="79"/>
        <c:spPr>
          <a:solidFill>
            <a:schemeClr val="accent2">
              <a:tint val="72000"/>
            </a:schemeClr>
          </a:solidFill>
          <a:ln w="19050">
            <a:solidFill>
              <a:schemeClr val="lt1"/>
            </a:solidFill>
          </a:ln>
          <a:effectLst/>
        </c:spPr>
      </c:pivotFmt>
      <c:pivotFmt>
        <c:idx val="80"/>
        <c:spPr>
          <a:solidFill>
            <a:schemeClr val="accent2">
              <a:tint val="58000"/>
            </a:schemeClr>
          </a:solidFill>
          <a:ln w="19050">
            <a:solidFill>
              <a:schemeClr val="lt1"/>
            </a:solidFill>
          </a:ln>
          <a:effectLst/>
        </c:spPr>
      </c:pivotFmt>
      <c:pivotFmt>
        <c:idx val="81"/>
        <c:spPr>
          <a:solidFill>
            <a:schemeClr val="accent2">
              <a:tint val="44000"/>
            </a:schemeClr>
          </a:solidFill>
          <a:ln w="19050">
            <a:solidFill>
              <a:schemeClr val="lt1"/>
            </a:solidFill>
          </a:ln>
          <a:effectLst/>
        </c:spPr>
      </c:pivotFmt>
    </c:pivotFmts>
    <c:plotArea>
      <c:layout/>
      <c:ofPieChart>
        <c:ofPieType val="bar"/>
        <c:varyColors val="1"/>
        <c:ser>
          <c:idx val="0"/>
          <c:order val="0"/>
          <c:tx>
            <c:strRef>
              <c:f>'Litros-Dinero'!$B$1</c:f>
              <c:strCache>
                <c:ptCount val="1"/>
                <c:pt idx="0">
                  <c:v>Total Litros</c:v>
                </c:pt>
              </c:strCache>
            </c:strRef>
          </c:tx>
          <c:dPt>
            <c:idx val="0"/>
            <c:bubble3D val="0"/>
            <c:spPr>
              <a:solidFill>
                <a:schemeClr val="accent2">
                  <a:shade val="44000"/>
                </a:schemeClr>
              </a:solidFill>
              <a:ln w="19050">
                <a:solidFill>
                  <a:schemeClr val="lt1"/>
                </a:solidFill>
              </a:ln>
              <a:effectLst/>
            </c:spPr>
            <c:extLst>
              <c:ext xmlns:c16="http://schemas.microsoft.com/office/drawing/2014/chart" uri="{C3380CC4-5D6E-409C-BE32-E72D297353CC}">
                <c16:uniqueId val="{00000001-B9E9-4731-9FBD-787F13E5CE58}"/>
              </c:ext>
            </c:extLst>
          </c:dPt>
          <c:dPt>
            <c:idx val="1"/>
            <c:bubble3D val="0"/>
            <c:spPr>
              <a:solidFill>
                <a:schemeClr val="accent2">
                  <a:shade val="58000"/>
                </a:schemeClr>
              </a:solidFill>
              <a:ln w="19050">
                <a:solidFill>
                  <a:schemeClr val="lt1"/>
                </a:solidFill>
              </a:ln>
              <a:effectLst/>
            </c:spPr>
            <c:extLst>
              <c:ext xmlns:c16="http://schemas.microsoft.com/office/drawing/2014/chart" uri="{C3380CC4-5D6E-409C-BE32-E72D297353CC}">
                <c16:uniqueId val="{00000003-B9E9-4731-9FBD-787F13E5CE58}"/>
              </c:ext>
            </c:extLst>
          </c:dPt>
          <c:dPt>
            <c:idx val="2"/>
            <c:bubble3D val="0"/>
            <c:spPr>
              <a:solidFill>
                <a:schemeClr val="accent2">
                  <a:shade val="72000"/>
                </a:schemeClr>
              </a:solidFill>
              <a:ln w="19050">
                <a:solidFill>
                  <a:schemeClr val="lt1"/>
                </a:solidFill>
              </a:ln>
              <a:effectLst/>
            </c:spPr>
            <c:extLst>
              <c:ext xmlns:c16="http://schemas.microsoft.com/office/drawing/2014/chart" uri="{C3380CC4-5D6E-409C-BE32-E72D297353CC}">
                <c16:uniqueId val="{00000005-B9E9-4731-9FBD-787F13E5CE58}"/>
              </c:ext>
            </c:extLst>
          </c:dPt>
          <c:dPt>
            <c:idx val="3"/>
            <c:bubble3D val="0"/>
            <c:spPr>
              <a:solidFill>
                <a:schemeClr val="accent2">
                  <a:shade val="86000"/>
                </a:schemeClr>
              </a:solidFill>
              <a:ln w="19050">
                <a:solidFill>
                  <a:schemeClr val="lt1"/>
                </a:solidFill>
              </a:ln>
              <a:effectLst/>
            </c:spPr>
            <c:extLst>
              <c:ext xmlns:c16="http://schemas.microsoft.com/office/drawing/2014/chart" uri="{C3380CC4-5D6E-409C-BE32-E72D297353CC}">
                <c16:uniqueId val="{00000007-B9E9-4731-9FBD-787F13E5CE58}"/>
              </c:ext>
            </c:extLst>
          </c:dPt>
          <c:dPt>
            <c:idx val="4"/>
            <c:bubble3D val="0"/>
            <c:spPr>
              <a:solidFill>
                <a:schemeClr val="accent2"/>
              </a:solidFill>
              <a:ln w="19050">
                <a:solidFill>
                  <a:schemeClr val="lt1"/>
                </a:solidFill>
              </a:ln>
              <a:effectLst/>
            </c:spPr>
            <c:extLst>
              <c:ext xmlns:c16="http://schemas.microsoft.com/office/drawing/2014/chart" uri="{C3380CC4-5D6E-409C-BE32-E72D297353CC}">
                <c16:uniqueId val="{00000009-B9E9-4731-9FBD-787F13E5CE58}"/>
              </c:ext>
            </c:extLst>
          </c:dPt>
          <c:dPt>
            <c:idx val="5"/>
            <c:bubble3D val="0"/>
            <c:spPr>
              <a:solidFill>
                <a:schemeClr val="accent2">
                  <a:tint val="86000"/>
                </a:schemeClr>
              </a:solidFill>
              <a:ln w="19050">
                <a:solidFill>
                  <a:schemeClr val="lt1"/>
                </a:solidFill>
              </a:ln>
              <a:effectLst/>
            </c:spPr>
            <c:extLst>
              <c:ext xmlns:c16="http://schemas.microsoft.com/office/drawing/2014/chart" uri="{C3380CC4-5D6E-409C-BE32-E72D297353CC}">
                <c16:uniqueId val="{0000000B-B9E9-4731-9FBD-787F13E5CE58}"/>
              </c:ext>
            </c:extLst>
          </c:dPt>
          <c:dPt>
            <c:idx val="6"/>
            <c:bubble3D val="0"/>
            <c:spPr>
              <a:solidFill>
                <a:schemeClr val="accent2">
                  <a:tint val="72000"/>
                </a:schemeClr>
              </a:solidFill>
              <a:ln w="19050">
                <a:solidFill>
                  <a:schemeClr val="lt1"/>
                </a:solidFill>
              </a:ln>
              <a:effectLst/>
            </c:spPr>
            <c:extLst>
              <c:ext xmlns:c16="http://schemas.microsoft.com/office/drawing/2014/chart" uri="{C3380CC4-5D6E-409C-BE32-E72D297353CC}">
                <c16:uniqueId val="{0000000D-B9E9-4731-9FBD-787F13E5CE58}"/>
              </c:ext>
            </c:extLst>
          </c:dPt>
          <c:dPt>
            <c:idx val="7"/>
            <c:bubble3D val="0"/>
            <c:spPr>
              <a:solidFill>
                <a:schemeClr val="accent2">
                  <a:tint val="58000"/>
                </a:schemeClr>
              </a:solidFill>
              <a:ln w="19050">
                <a:solidFill>
                  <a:schemeClr val="lt1"/>
                </a:solidFill>
              </a:ln>
              <a:effectLst/>
            </c:spPr>
            <c:extLst>
              <c:ext xmlns:c16="http://schemas.microsoft.com/office/drawing/2014/chart" uri="{C3380CC4-5D6E-409C-BE32-E72D297353CC}">
                <c16:uniqueId val="{0000000F-B9E9-4731-9FBD-787F13E5CE58}"/>
              </c:ext>
            </c:extLst>
          </c:dPt>
          <c:dPt>
            <c:idx val="8"/>
            <c:bubble3D val="0"/>
            <c:spPr>
              <a:solidFill>
                <a:schemeClr val="accent2">
                  <a:tint val="44000"/>
                </a:schemeClr>
              </a:solidFill>
              <a:ln w="19050">
                <a:solidFill>
                  <a:schemeClr val="lt1"/>
                </a:solidFill>
              </a:ln>
              <a:effectLst/>
            </c:spPr>
            <c:extLst>
              <c:ext xmlns:c16="http://schemas.microsoft.com/office/drawing/2014/chart" uri="{C3380CC4-5D6E-409C-BE32-E72D297353CC}">
                <c16:uniqueId val="{00000011-B9E9-4731-9FBD-787F13E5CE58}"/>
              </c:ext>
            </c:extLst>
          </c:dPt>
          <c:dPt>
            <c:idx val="9"/>
            <c:bubble3D val="0"/>
            <c:spPr>
              <a:solidFill>
                <a:schemeClr val="accent2">
                  <a:tint val="30000"/>
                </a:schemeClr>
              </a:solidFill>
              <a:ln w="19050">
                <a:solidFill>
                  <a:schemeClr val="lt1"/>
                </a:solidFill>
              </a:ln>
              <a:effectLst/>
            </c:spPr>
            <c:extLst>
              <c:ext xmlns:c16="http://schemas.microsoft.com/office/drawing/2014/chart" uri="{C3380CC4-5D6E-409C-BE32-E72D297353CC}">
                <c16:uniqueId val="{00000013-B9E9-4731-9FBD-787F13E5CE58}"/>
              </c:ext>
            </c:extLst>
          </c:dPt>
          <c:dPt>
            <c:idx val="10"/>
            <c:bubble3D val="0"/>
            <c:spPr>
              <a:solidFill>
                <a:schemeClr val="accent2">
                  <a:tint val="16000"/>
                </a:schemeClr>
              </a:solidFill>
              <a:ln w="19050">
                <a:solidFill>
                  <a:schemeClr val="lt1"/>
                </a:solidFill>
              </a:ln>
              <a:effectLst/>
            </c:spPr>
            <c:extLst>
              <c:ext xmlns:c16="http://schemas.microsoft.com/office/drawing/2014/chart" uri="{C3380CC4-5D6E-409C-BE32-E72D297353CC}">
                <c16:uniqueId val="{00000015-B9E9-4731-9FBD-787F13E5CE58}"/>
              </c:ext>
            </c:extLst>
          </c:dPt>
          <c:dPt>
            <c:idx val="11"/>
            <c:bubble3D val="0"/>
            <c:spPr>
              <a:solidFill>
                <a:schemeClr val="accent2">
                  <a:tint val="2000"/>
                </a:schemeClr>
              </a:solidFill>
              <a:ln w="19050">
                <a:solidFill>
                  <a:schemeClr val="lt1"/>
                </a:solidFill>
              </a:ln>
              <a:effectLst/>
            </c:spPr>
            <c:extLst>
              <c:ext xmlns:c16="http://schemas.microsoft.com/office/drawing/2014/chart" uri="{C3380CC4-5D6E-409C-BE32-E72D297353CC}">
                <c16:uniqueId val="{00000017-B9E9-4731-9FBD-787F13E5CE58}"/>
              </c:ext>
            </c:extLst>
          </c:dPt>
          <c:dPt>
            <c:idx val="12"/>
            <c:bubble3D val="0"/>
            <c:spPr>
              <a:solidFill>
                <a:schemeClr val="accent2">
                  <a:tint val="88000"/>
                </a:schemeClr>
              </a:solidFill>
              <a:ln w="19050">
                <a:solidFill>
                  <a:schemeClr val="lt1"/>
                </a:solidFill>
              </a:ln>
              <a:effectLst/>
            </c:spPr>
            <c:extLst>
              <c:ext xmlns:c16="http://schemas.microsoft.com/office/drawing/2014/chart" uri="{C3380CC4-5D6E-409C-BE32-E72D297353CC}">
                <c16:uniqueId val="{00000019-B9E9-4731-9FBD-787F13E5CE5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'Litros-Dinero'!$A$2:$A$11</c:f>
              <c:strCache>
                <c:ptCount val="9"/>
                <c:pt idx="0">
                  <c:v>2011</c:v>
                </c:pt>
                <c:pt idx="1">
                  <c:v>2012</c:v>
                </c:pt>
                <c:pt idx="2">
                  <c:v>2013</c:v>
                </c:pt>
                <c:pt idx="3">
                  <c:v>2014</c:v>
                </c:pt>
                <c:pt idx="4">
                  <c:v>2015</c:v>
                </c:pt>
                <c:pt idx="5">
                  <c:v>2016</c:v>
                </c:pt>
                <c:pt idx="6">
                  <c:v>2017</c:v>
                </c:pt>
                <c:pt idx="7">
                  <c:v>2018</c:v>
                </c:pt>
                <c:pt idx="8">
                  <c:v>2019</c:v>
                </c:pt>
              </c:strCache>
            </c:strRef>
          </c:cat>
          <c:val>
            <c:numRef>
              <c:f>'Litros-Dinero'!$B$2:$B$11</c:f>
              <c:numCache>
                <c:formatCode>General</c:formatCode>
                <c:ptCount val="9"/>
                <c:pt idx="0">
                  <c:v>61.38</c:v>
                </c:pt>
                <c:pt idx="1">
                  <c:v>67</c:v>
                </c:pt>
                <c:pt idx="2">
                  <c:v>26.07</c:v>
                </c:pt>
                <c:pt idx="3">
                  <c:v>18.73</c:v>
                </c:pt>
                <c:pt idx="4">
                  <c:v>18.73</c:v>
                </c:pt>
                <c:pt idx="5">
                  <c:v>75.33</c:v>
                </c:pt>
                <c:pt idx="6">
                  <c:v>111.04999999999998</c:v>
                </c:pt>
                <c:pt idx="7">
                  <c:v>102.73000000000002</c:v>
                </c:pt>
                <c:pt idx="8">
                  <c:v>46.38000000000001</c:v>
                </c:pt>
              </c:numCache>
            </c:numRef>
          </c:val>
          <c:extLst>
            <c:ext xmlns:c16="http://schemas.microsoft.com/office/drawing/2014/chart" uri="{C3380CC4-5D6E-409C-BE32-E72D297353CC}">
              <c16:uniqueId val="{00000000-F874-42A1-90D2-70D442061EDA}"/>
            </c:ext>
          </c:extLst>
        </c:ser>
        <c:ser>
          <c:idx val="1"/>
          <c:order val="1"/>
          <c:tx>
            <c:strRef>
              <c:f>'Litros-Dinero'!$C$1</c:f>
              <c:strCache>
                <c:ptCount val="1"/>
                <c:pt idx="0">
                  <c:v>Total Dinero</c:v>
                </c:pt>
              </c:strCache>
            </c:strRef>
          </c:tx>
          <c:dPt>
            <c:idx val="0"/>
            <c:bubble3D val="0"/>
            <c:spPr>
              <a:solidFill>
                <a:schemeClr val="accent2">
                  <a:shade val="44000"/>
                </a:schemeClr>
              </a:solidFill>
              <a:ln w="19050">
                <a:solidFill>
                  <a:schemeClr val="lt1"/>
                </a:solidFill>
              </a:ln>
              <a:effectLst/>
            </c:spPr>
            <c:extLst>
              <c:ext xmlns:c16="http://schemas.microsoft.com/office/drawing/2014/chart" uri="{C3380CC4-5D6E-409C-BE32-E72D297353CC}">
                <c16:uniqueId val="{0000001B-B9E9-4731-9FBD-787F13E5CE58}"/>
              </c:ext>
            </c:extLst>
          </c:dPt>
          <c:dPt>
            <c:idx val="1"/>
            <c:bubble3D val="0"/>
            <c:spPr>
              <a:solidFill>
                <a:schemeClr val="accent2">
                  <a:shade val="58000"/>
                </a:schemeClr>
              </a:solidFill>
              <a:ln w="19050">
                <a:solidFill>
                  <a:schemeClr val="lt1"/>
                </a:solidFill>
              </a:ln>
              <a:effectLst/>
            </c:spPr>
            <c:extLst>
              <c:ext xmlns:c16="http://schemas.microsoft.com/office/drawing/2014/chart" uri="{C3380CC4-5D6E-409C-BE32-E72D297353CC}">
                <c16:uniqueId val="{0000001D-B9E9-4731-9FBD-787F13E5CE58}"/>
              </c:ext>
            </c:extLst>
          </c:dPt>
          <c:dPt>
            <c:idx val="2"/>
            <c:bubble3D val="0"/>
            <c:spPr>
              <a:solidFill>
                <a:schemeClr val="accent2">
                  <a:shade val="72000"/>
                </a:schemeClr>
              </a:solidFill>
              <a:ln w="19050">
                <a:solidFill>
                  <a:schemeClr val="lt1"/>
                </a:solidFill>
              </a:ln>
              <a:effectLst/>
            </c:spPr>
            <c:extLst>
              <c:ext xmlns:c16="http://schemas.microsoft.com/office/drawing/2014/chart" uri="{C3380CC4-5D6E-409C-BE32-E72D297353CC}">
                <c16:uniqueId val="{0000001F-B9E9-4731-9FBD-787F13E5CE58}"/>
              </c:ext>
            </c:extLst>
          </c:dPt>
          <c:dPt>
            <c:idx val="3"/>
            <c:bubble3D val="0"/>
            <c:spPr>
              <a:solidFill>
                <a:schemeClr val="accent2">
                  <a:shade val="86000"/>
                </a:schemeClr>
              </a:solidFill>
              <a:ln w="19050">
                <a:solidFill>
                  <a:schemeClr val="lt1"/>
                </a:solidFill>
              </a:ln>
              <a:effectLst/>
            </c:spPr>
            <c:extLst>
              <c:ext xmlns:c16="http://schemas.microsoft.com/office/drawing/2014/chart" uri="{C3380CC4-5D6E-409C-BE32-E72D297353CC}">
                <c16:uniqueId val="{00000021-B9E9-4731-9FBD-787F13E5CE58}"/>
              </c:ext>
            </c:extLst>
          </c:dPt>
          <c:dPt>
            <c:idx val="4"/>
            <c:bubble3D val="0"/>
            <c:spPr>
              <a:solidFill>
                <a:schemeClr val="accent2"/>
              </a:solidFill>
              <a:ln w="19050">
                <a:solidFill>
                  <a:schemeClr val="lt1"/>
                </a:solidFill>
              </a:ln>
              <a:effectLst/>
            </c:spPr>
            <c:extLst>
              <c:ext xmlns:c16="http://schemas.microsoft.com/office/drawing/2014/chart" uri="{C3380CC4-5D6E-409C-BE32-E72D297353CC}">
                <c16:uniqueId val="{00000023-B9E9-4731-9FBD-787F13E5CE58}"/>
              </c:ext>
            </c:extLst>
          </c:dPt>
          <c:dPt>
            <c:idx val="5"/>
            <c:bubble3D val="0"/>
            <c:spPr>
              <a:solidFill>
                <a:schemeClr val="accent2">
                  <a:tint val="86000"/>
                </a:schemeClr>
              </a:solidFill>
              <a:ln w="19050">
                <a:solidFill>
                  <a:schemeClr val="lt1"/>
                </a:solidFill>
              </a:ln>
              <a:effectLst/>
            </c:spPr>
            <c:extLst>
              <c:ext xmlns:c16="http://schemas.microsoft.com/office/drawing/2014/chart" uri="{C3380CC4-5D6E-409C-BE32-E72D297353CC}">
                <c16:uniqueId val="{00000025-B9E9-4731-9FBD-787F13E5CE58}"/>
              </c:ext>
            </c:extLst>
          </c:dPt>
          <c:dPt>
            <c:idx val="6"/>
            <c:bubble3D val="0"/>
            <c:spPr>
              <a:solidFill>
                <a:schemeClr val="accent2">
                  <a:tint val="72000"/>
                </a:schemeClr>
              </a:solidFill>
              <a:ln w="19050">
                <a:solidFill>
                  <a:schemeClr val="lt1"/>
                </a:solidFill>
              </a:ln>
              <a:effectLst/>
            </c:spPr>
            <c:extLst>
              <c:ext xmlns:c16="http://schemas.microsoft.com/office/drawing/2014/chart" uri="{C3380CC4-5D6E-409C-BE32-E72D297353CC}">
                <c16:uniqueId val="{00000027-B9E9-4731-9FBD-787F13E5CE58}"/>
              </c:ext>
            </c:extLst>
          </c:dPt>
          <c:dPt>
            <c:idx val="7"/>
            <c:bubble3D val="0"/>
            <c:spPr>
              <a:solidFill>
                <a:schemeClr val="accent2">
                  <a:tint val="58000"/>
                </a:schemeClr>
              </a:solidFill>
              <a:ln w="19050">
                <a:solidFill>
                  <a:schemeClr val="lt1"/>
                </a:solidFill>
              </a:ln>
              <a:effectLst/>
            </c:spPr>
            <c:extLst>
              <c:ext xmlns:c16="http://schemas.microsoft.com/office/drawing/2014/chart" uri="{C3380CC4-5D6E-409C-BE32-E72D297353CC}">
                <c16:uniqueId val="{00000029-B9E9-4731-9FBD-787F13E5CE58}"/>
              </c:ext>
            </c:extLst>
          </c:dPt>
          <c:dPt>
            <c:idx val="8"/>
            <c:bubble3D val="0"/>
            <c:spPr>
              <a:solidFill>
                <a:schemeClr val="accent2">
                  <a:tint val="44000"/>
                </a:schemeClr>
              </a:solidFill>
              <a:ln w="19050">
                <a:solidFill>
                  <a:schemeClr val="lt1"/>
                </a:solidFill>
              </a:ln>
              <a:effectLst/>
            </c:spPr>
            <c:extLst>
              <c:ext xmlns:c16="http://schemas.microsoft.com/office/drawing/2014/chart" uri="{C3380CC4-5D6E-409C-BE32-E72D297353CC}">
                <c16:uniqueId val="{0000002B-B9E9-4731-9FBD-787F13E5CE58}"/>
              </c:ext>
            </c:extLst>
          </c:dPt>
          <c:dPt>
            <c:idx val="9"/>
            <c:bubble3D val="0"/>
            <c:spPr>
              <a:solidFill>
                <a:schemeClr val="accent2">
                  <a:tint val="30000"/>
                </a:schemeClr>
              </a:solidFill>
              <a:ln w="19050">
                <a:solidFill>
                  <a:schemeClr val="lt1"/>
                </a:solidFill>
              </a:ln>
              <a:effectLst/>
            </c:spPr>
            <c:extLst>
              <c:ext xmlns:c16="http://schemas.microsoft.com/office/drawing/2014/chart" uri="{C3380CC4-5D6E-409C-BE32-E72D297353CC}">
                <c16:uniqueId val="{0000002D-B9E9-4731-9FBD-787F13E5CE58}"/>
              </c:ext>
            </c:extLst>
          </c:dPt>
          <c:dPt>
            <c:idx val="10"/>
            <c:bubble3D val="0"/>
            <c:spPr>
              <a:solidFill>
                <a:schemeClr val="accent2">
                  <a:tint val="16000"/>
                </a:schemeClr>
              </a:solidFill>
              <a:ln w="19050">
                <a:solidFill>
                  <a:schemeClr val="lt1"/>
                </a:solidFill>
              </a:ln>
              <a:effectLst/>
            </c:spPr>
            <c:extLst>
              <c:ext xmlns:c16="http://schemas.microsoft.com/office/drawing/2014/chart" uri="{C3380CC4-5D6E-409C-BE32-E72D297353CC}">
                <c16:uniqueId val="{0000002F-B9E9-4731-9FBD-787F13E5CE58}"/>
              </c:ext>
            </c:extLst>
          </c:dPt>
          <c:dPt>
            <c:idx val="11"/>
            <c:bubble3D val="0"/>
            <c:spPr>
              <a:solidFill>
                <a:schemeClr val="accent2">
                  <a:tint val="2000"/>
                </a:schemeClr>
              </a:solidFill>
              <a:ln w="19050">
                <a:solidFill>
                  <a:schemeClr val="lt1"/>
                </a:solidFill>
              </a:ln>
              <a:effectLst/>
            </c:spPr>
            <c:extLst>
              <c:ext xmlns:c16="http://schemas.microsoft.com/office/drawing/2014/chart" uri="{C3380CC4-5D6E-409C-BE32-E72D297353CC}">
                <c16:uniqueId val="{00000031-B9E9-4731-9FBD-787F13E5CE58}"/>
              </c:ext>
            </c:extLst>
          </c:dPt>
          <c:dPt>
            <c:idx val="12"/>
            <c:bubble3D val="0"/>
            <c:spPr>
              <a:solidFill>
                <a:schemeClr val="accent2">
                  <a:tint val="88000"/>
                </a:schemeClr>
              </a:solidFill>
              <a:ln w="19050">
                <a:solidFill>
                  <a:schemeClr val="lt1"/>
                </a:solidFill>
              </a:ln>
              <a:effectLst/>
            </c:spPr>
            <c:extLst>
              <c:ext xmlns:c16="http://schemas.microsoft.com/office/drawing/2014/chart" uri="{C3380CC4-5D6E-409C-BE32-E72D297353CC}">
                <c16:uniqueId val="{00000033-B9E9-4731-9FBD-787F13E5CE5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'Litros-Dinero'!$A$2:$A$11</c:f>
              <c:strCache>
                <c:ptCount val="9"/>
                <c:pt idx="0">
                  <c:v>2011</c:v>
                </c:pt>
                <c:pt idx="1">
                  <c:v>2012</c:v>
                </c:pt>
                <c:pt idx="2">
                  <c:v>2013</c:v>
                </c:pt>
                <c:pt idx="3">
                  <c:v>2014</c:v>
                </c:pt>
                <c:pt idx="4">
                  <c:v>2015</c:v>
                </c:pt>
                <c:pt idx="5">
                  <c:v>2016</c:v>
                </c:pt>
                <c:pt idx="6">
                  <c:v>2017</c:v>
                </c:pt>
                <c:pt idx="7">
                  <c:v>2018</c:v>
                </c:pt>
                <c:pt idx="8">
                  <c:v>2019</c:v>
                </c:pt>
              </c:strCache>
            </c:strRef>
          </c:cat>
          <c:val>
            <c:numRef>
              <c:f>'Litros-Dinero'!$C$2:$C$11</c:f>
              <c:numCache>
                <c:formatCode>General</c:formatCode>
                <c:ptCount val="9"/>
                <c:pt idx="0">
                  <c:v>79.339999999999989</c:v>
                </c:pt>
                <c:pt idx="1">
                  <c:v>95.649999999999991</c:v>
                </c:pt>
                <c:pt idx="2">
                  <c:v>38.380000000000003</c:v>
                </c:pt>
                <c:pt idx="3">
                  <c:v>28.094999999999999</c:v>
                </c:pt>
                <c:pt idx="4">
                  <c:v>28.094999999999999</c:v>
                </c:pt>
                <c:pt idx="5">
                  <c:v>86.13</c:v>
                </c:pt>
                <c:pt idx="6">
                  <c:v>125</c:v>
                </c:pt>
                <c:pt idx="7">
                  <c:v>125</c:v>
                </c:pt>
                <c:pt idx="8">
                  <c:v>55</c:v>
                </c:pt>
              </c:numCache>
            </c:numRef>
          </c:val>
          <c:extLst>
            <c:ext xmlns:c16="http://schemas.microsoft.com/office/drawing/2014/chart" uri="{C3380CC4-5D6E-409C-BE32-E72D297353CC}">
              <c16:uniqueId val="{00000001-F874-42A1-90D2-70D442061EDA}"/>
            </c:ext>
          </c:extLst>
        </c:ser>
        <c:dLbls>
          <c:dLblPos val="bestFit"/>
          <c:showLegendKey val="0"/>
          <c:showVal val="1"/>
          <c:showCatName val="0"/>
          <c:showSerName val="0"/>
          <c:showPercent val="0"/>
          <c:showBubbleSize val="0"/>
          <c:showLeaderLines val="1"/>
        </c:dLbls>
        <c:gapWidth val="100"/>
        <c:secondPieSize val="75"/>
        <c:serLines>
          <c:spPr>
            <a:ln w="9525" cap="flat" cmpd="sng" algn="ctr">
              <a:solidFill>
                <a:schemeClr val="tx1">
                  <a:lumMod val="35000"/>
                  <a:lumOff val="65000"/>
                </a:schemeClr>
              </a:solidFill>
              <a:round/>
            </a:ln>
            <a:effectLst/>
          </c:spPr>
        </c:serLines>
      </c:ofPie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accent2">
        <a:lumMod val="40000"/>
        <a:lumOff val="60000"/>
      </a:schemeClr>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[TablasDinamicasMacrosyGraficas.xlsm]Euros-Litro!PivotTable6</c:name>
    <c:fmtId val="3"/>
  </c:pivotSource>
  <c:chart>
    <c:title>
      <c:tx>
        <c:rich>
          <a:bodyPr rot="0" spcFirstLastPara="1" vertOverflow="ellipsis" vert="horz" wrap="square" anchor="ctr" anchorCtr="1"/>
          <a:lstStyle/>
          <a:p>
            <a:pPr>
              <a:defRPr sz="1400" b="1" i="0" u="none" strike="noStrike" kern="1200" cap="none" spc="20" baseline="0">
                <a:solidFill>
                  <a:schemeClr val="accent1">
                    <a:lumMod val="75000"/>
                  </a:schemeClr>
                </a:solidFill>
                <a:latin typeface="+mn-lt"/>
                <a:ea typeface="+mn-ea"/>
                <a:cs typeface="+mn-cs"/>
              </a:defRPr>
            </a:pPr>
            <a:r>
              <a:rPr lang="en-GB" b="1">
                <a:solidFill>
                  <a:schemeClr val="accent1">
                    <a:lumMod val="75000"/>
                  </a:schemeClr>
                </a:solidFill>
              </a:rPr>
              <a:t>Evolución</a:t>
            </a:r>
            <a:r>
              <a:rPr lang="en-GB" b="1" baseline="0">
                <a:solidFill>
                  <a:schemeClr val="accent1">
                    <a:lumMod val="75000"/>
                  </a:schemeClr>
                </a:solidFill>
              </a:rPr>
              <a:t> Precio de la Gasolina</a:t>
            </a:r>
          </a:p>
        </c:rich>
      </c:tx>
      <c:layout/>
      <c:overlay val="0"/>
      <c:spPr>
        <a:noFill/>
        <a:ln>
          <a:noFill/>
        </a:ln>
        <a:effectLst/>
      </c:spPr>
      <c:txPr>
        <a:bodyPr rot="0" spcFirstLastPara="1" vertOverflow="ellipsis" vert="horz" wrap="square" anchor="ctr" anchorCtr="1"/>
        <a:lstStyle/>
        <a:p>
          <a:pPr>
            <a:defRPr sz="1400" b="1" i="0" u="none" strike="noStrike" kern="1200" cap="none" spc="20" baseline="0">
              <a:solidFill>
                <a:schemeClr val="accent1">
                  <a:lumMod val="75000"/>
                </a:schemeClr>
              </a:solidFill>
              <a:latin typeface="+mn-lt"/>
              <a:ea typeface="+mn-ea"/>
              <a:cs typeface="+mn-cs"/>
            </a:defRPr>
          </a:pPr>
          <a:endParaRPr lang="en-US"/>
        </a:p>
      </c:txPr>
    </c:title>
    <c:autoTitleDeleted val="0"/>
    <c:pivotFmts>
      <c:pivotFmt>
        <c:idx val="0"/>
      </c:pivotFmt>
      <c:pivotFmt>
        <c:idx val="1"/>
      </c:pivotFmt>
      <c:pivotFmt>
        <c:idx val="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pivotFmt>
      <c:pivotFmt>
        <c:idx val="3"/>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pivotFmt>
      <c:pivotFmt>
        <c:idx val="4"/>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pivotFmt>
      <c:pivotFmt>
        <c:idx val="5"/>
        <c:spPr>
          <a:ln w="22225" cap="rnd" cmpd="sng" algn="ctr">
            <a:solidFill>
              <a:srgbClr val="FF0000"/>
            </a:solidFill>
            <a:round/>
          </a:ln>
          <a:effectLst/>
        </c:spPr>
        <c:marker>
          <c:symbol val="circle"/>
          <c:size val="4"/>
          <c:spPr>
            <a:solidFill>
              <a:schemeClr val="accent2"/>
            </a:solidFill>
            <a:ln w="9525" cap="flat" cmpd="sng" algn="ctr">
              <a:solidFill>
                <a:schemeClr val="accent2"/>
              </a:solidFill>
              <a:round/>
            </a:ln>
            <a:effectLst/>
          </c:spPr>
        </c:marker>
      </c:pivotFmt>
    </c:pivotFmts>
    <c:plotArea>
      <c:layout/>
      <c:lineChart>
        <c:grouping val="standard"/>
        <c:varyColors val="0"/>
        <c:ser>
          <c:idx val="0"/>
          <c:order val="0"/>
          <c:tx>
            <c:strRef>
              <c:f>'Euros-Litro'!$B$1</c:f>
              <c:strCache>
                <c:ptCount val="1"/>
                <c:pt idx="0">
                  <c:v>Precio €/LITRO</c:v>
                </c:pt>
              </c:strCache>
            </c:strRef>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cat>
            <c:multiLvlStrRef>
              <c:f>'Euros-Litro'!$A$2:$A$64</c:f>
              <c:multiLvlStrCache>
                <c:ptCount val="53"/>
                <c:lvl>
                  <c:pt idx="0">
                    <c:v>ago</c:v>
                  </c:pt>
                  <c:pt idx="1">
                    <c:v>sep</c:v>
                  </c:pt>
                  <c:pt idx="2">
                    <c:v>oct</c:v>
                  </c:pt>
                  <c:pt idx="3">
                    <c:v>nov</c:v>
                  </c:pt>
                  <c:pt idx="4">
                    <c:v>dic</c:v>
                  </c:pt>
                  <c:pt idx="5">
                    <c:v>ene</c:v>
                  </c:pt>
                  <c:pt idx="6">
                    <c:v>feb</c:v>
                  </c:pt>
                  <c:pt idx="7">
                    <c:v>mar</c:v>
                  </c:pt>
                  <c:pt idx="8">
                    <c:v>abr</c:v>
                  </c:pt>
                  <c:pt idx="9">
                    <c:v>may</c:v>
                  </c:pt>
                  <c:pt idx="10">
                    <c:v>jun</c:v>
                  </c:pt>
                  <c:pt idx="11">
                    <c:v>jul</c:v>
                  </c:pt>
                  <c:pt idx="12">
                    <c:v>may</c:v>
                  </c:pt>
                  <c:pt idx="13">
                    <c:v>jun</c:v>
                  </c:pt>
                  <c:pt idx="14">
                    <c:v>jul</c:v>
                  </c:pt>
                  <c:pt idx="15">
                    <c:v>sep</c:v>
                  </c:pt>
                  <c:pt idx="16">
                    <c:v>dic</c:v>
                  </c:pt>
                  <c:pt idx="17">
                    <c:v>dic</c:v>
                  </c:pt>
                  <c:pt idx="18">
                    <c:v>may</c:v>
                  </c:pt>
                  <c:pt idx="19">
                    <c:v>jun</c:v>
                  </c:pt>
                  <c:pt idx="20">
                    <c:v>jul</c:v>
                  </c:pt>
                  <c:pt idx="21">
                    <c:v>ago</c:v>
                  </c:pt>
                  <c:pt idx="22">
                    <c:v>sep</c:v>
                  </c:pt>
                  <c:pt idx="23">
                    <c:v>oct</c:v>
                  </c:pt>
                  <c:pt idx="24">
                    <c:v>nov</c:v>
                  </c:pt>
                  <c:pt idx="25">
                    <c:v>dic</c:v>
                  </c:pt>
                  <c:pt idx="26">
                    <c:v>ene</c:v>
                  </c:pt>
                  <c:pt idx="27">
                    <c:v>feb</c:v>
                  </c:pt>
                  <c:pt idx="28">
                    <c:v>mar</c:v>
                  </c:pt>
                  <c:pt idx="29">
                    <c:v>abr</c:v>
                  </c:pt>
                  <c:pt idx="30">
                    <c:v>may</c:v>
                  </c:pt>
                  <c:pt idx="31">
                    <c:v>jun</c:v>
                  </c:pt>
                  <c:pt idx="32">
                    <c:v>jul</c:v>
                  </c:pt>
                  <c:pt idx="33">
                    <c:v>sep</c:v>
                  </c:pt>
                  <c:pt idx="34">
                    <c:v>oct</c:v>
                  </c:pt>
                  <c:pt idx="35">
                    <c:v>nov</c:v>
                  </c:pt>
                  <c:pt idx="36">
                    <c:v>dic</c:v>
                  </c:pt>
                  <c:pt idx="37">
                    <c:v>ene</c:v>
                  </c:pt>
                  <c:pt idx="38">
                    <c:v>mar</c:v>
                  </c:pt>
                  <c:pt idx="39">
                    <c:v>abr</c:v>
                  </c:pt>
                  <c:pt idx="40">
                    <c:v>may</c:v>
                  </c:pt>
                  <c:pt idx="41">
                    <c:v>jun</c:v>
                  </c:pt>
                  <c:pt idx="42">
                    <c:v>jul</c:v>
                  </c:pt>
                  <c:pt idx="43">
                    <c:v>ago</c:v>
                  </c:pt>
                  <c:pt idx="44">
                    <c:v>sep</c:v>
                  </c:pt>
                  <c:pt idx="45">
                    <c:v>oct</c:v>
                  </c:pt>
                  <c:pt idx="46">
                    <c:v>nov</c:v>
                  </c:pt>
                  <c:pt idx="47">
                    <c:v>dic</c:v>
                  </c:pt>
                  <c:pt idx="48">
                    <c:v>ene</c:v>
                  </c:pt>
                  <c:pt idx="49">
                    <c:v>feb</c:v>
                  </c:pt>
                  <c:pt idx="50">
                    <c:v>mar</c:v>
                  </c:pt>
                  <c:pt idx="51">
                    <c:v>abr</c:v>
                  </c:pt>
                  <c:pt idx="52">
                    <c:v>may</c:v>
                  </c:pt>
                </c:lvl>
                <c:lvl>
                  <c:pt idx="0">
                    <c:v>2011</c:v>
                  </c:pt>
                  <c:pt idx="5">
                    <c:v>2012</c:v>
                  </c:pt>
                  <c:pt idx="12">
                    <c:v>2013</c:v>
                  </c:pt>
                  <c:pt idx="16">
                    <c:v>2014</c:v>
                  </c:pt>
                  <c:pt idx="17">
                    <c:v>2015</c:v>
                  </c:pt>
                  <c:pt idx="18">
                    <c:v>2016</c:v>
                  </c:pt>
                  <c:pt idx="26">
                    <c:v>2017</c:v>
                  </c:pt>
                  <c:pt idx="37">
                    <c:v>2018</c:v>
                  </c:pt>
                  <c:pt idx="48">
                    <c:v>2019</c:v>
                  </c:pt>
                </c:lvl>
              </c:multiLvlStrCache>
            </c:multiLvlStrRef>
          </c:cat>
          <c:val>
            <c:numRef>
              <c:f>'Euros-Litro'!$B$2:$B$64</c:f>
              <c:numCache>
                <c:formatCode>General</c:formatCode>
                <c:ptCount val="53"/>
                <c:pt idx="0">
                  <c:v>1.31</c:v>
                </c:pt>
                <c:pt idx="1">
                  <c:v>1.3390000000000002</c:v>
                </c:pt>
                <c:pt idx="2">
                  <c:v>1.33</c:v>
                </c:pt>
                <c:pt idx="3">
                  <c:v>1.3033333333333335</c:v>
                </c:pt>
                <c:pt idx="4">
                  <c:v>1.31</c:v>
                </c:pt>
                <c:pt idx="5">
                  <c:v>1.4024999999999999</c:v>
                </c:pt>
                <c:pt idx="6">
                  <c:v>1.4295</c:v>
                </c:pt>
                <c:pt idx="7">
                  <c:v>1.4790000000000001</c:v>
                </c:pt>
                <c:pt idx="8">
                  <c:v>1.5149999999999999</c:v>
                </c:pt>
                <c:pt idx="9">
                  <c:v>1.427</c:v>
                </c:pt>
                <c:pt idx="10">
                  <c:v>1.39</c:v>
                </c:pt>
                <c:pt idx="11">
                  <c:v>1.39</c:v>
                </c:pt>
                <c:pt idx="12">
                  <c:v>1.4766666666666666</c:v>
                </c:pt>
                <c:pt idx="13">
                  <c:v>1.47</c:v>
                </c:pt>
                <c:pt idx="14">
                  <c:v>1.5</c:v>
                </c:pt>
                <c:pt idx="15">
                  <c:v>1.5</c:v>
                </c:pt>
                <c:pt idx="16">
                  <c:v>1.5</c:v>
                </c:pt>
                <c:pt idx="17">
                  <c:v>1.5</c:v>
                </c:pt>
                <c:pt idx="18">
                  <c:v>1.2050000000000001</c:v>
                </c:pt>
                <c:pt idx="19">
                  <c:v>1.2050000000000001</c:v>
                </c:pt>
                <c:pt idx="20">
                  <c:v>1.21</c:v>
                </c:pt>
                <c:pt idx="21">
                  <c:v>1.69</c:v>
                </c:pt>
                <c:pt idx="22">
                  <c:v>1.1549999999999998</c:v>
                </c:pt>
                <c:pt idx="23">
                  <c:v>1.06</c:v>
                </c:pt>
                <c:pt idx="24">
                  <c:v>1.0900000000000001</c:v>
                </c:pt>
                <c:pt idx="25">
                  <c:v>1.1200000000000001</c:v>
                </c:pt>
                <c:pt idx="26">
                  <c:v>1.1599999999999999</c:v>
                </c:pt>
                <c:pt idx="27">
                  <c:v>1.1599999999999999</c:v>
                </c:pt>
                <c:pt idx="28">
                  <c:v>1.17</c:v>
                </c:pt>
                <c:pt idx="29">
                  <c:v>1.1549999999999998</c:v>
                </c:pt>
                <c:pt idx="30">
                  <c:v>1.1850000000000001</c:v>
                </c:pt>
                <c:pt idx="31">
                  <c:v>1.08</c:v>
                </c:pt>
                <c:pt idx="32">
                  <c:v>1.07</c:v>
                </c:pt>
                <c:pt idx="33">
                  <c:v>1.1100000000000001</c:v>
                </c:pt>
                <c:pt idx="34">
                  <c:v>1.0900000000000001</c:v>
                </c:pt>
                <c:pt idx="35">
                  <c:v>1.1349999999999998</c:v>
                </c:pt>
                <c:pt idx="36">
                  <c:v>1.1499999999999999</c:v>
                </c:pt>
                <c:pt idx="37">
                  <c:v>1.1599999999999999</c:v>
                </c:pt>
                <c:pt idx="38">
                  <c:v>1.1599999999999999</c:v>
                </c:pt>
                <c:pt idx="39">
                  <c:v>1.1749999999999998</c:v>
                </c:pt>
                <c:pt idx="40">
                  <c:v>1.23</c:v>
                </c:pt>
                <c:pt idx="41">
                  <c:v>1.2466666666666668</c:v>
                </c:pt>
                <c:pt idx="42">
                  <c:v>1.24</c:v>
                </c:pt>
                <c:pt idx="43">
                  <c:v>1.24</c:v>
                </c:pt>
                <c:pt idx="44">
                  <c:v>1.25</c:v>
                </c:pt>
                <c:pt idx="45">
                  <c:v>1.2549999999999999</c:v>
                </c:pt>
                <c:pt idx="46">
                  <c:v>1.2566666666666666</c:v>
                </c:pt>
                <c:pt idx="47">
                  <c:v>1.1000000000000001</c:v>
                </c:pt>
                <c:pt idx="48">
                  <c:v>1.1000000000000001</c:v>
                </c:pt>
                <c:pt idx="49">
                  <c:v>1.1200000000000001</c:v>
                </c:pt>
                <c:pt idx="50">
                  <c:v>1.1599999999999999</c:v>
                </c:pt>
                <c:pt idx="51">
                  <c:v>1.23</c:v>
                </c:pt>
                <c:pt idx="52">
                  <c:v>1.2850000000000001</c:v>
                </c:pt>
              </c:numCache>
            </c:numRef>
          </c:val>
          <c:smooth val="0"/>
          <c:extLst>
            <c:ext xmlns:c16="http://schemas.microsoft.com/office/drawing/2014/chart" uri="{C3380CC4-5D6E-409C-BE32-E72D297353CC}">
              <c16:uniqueId val="{00000000-A43C-4B97-B5B3-C49D59E67C60}"/>
            </c:ext>
          </c:extLst>
        </c:ser>
        <c:ser>
          <c:idx val="1"/>
          <c:order val="1"/>
          <c:tx>
            <c:strRef>
              <c:f>'Euros-Litro'!$C$1</c:f>
              <c:strCache>
                <c:ptCount val="1"/>
                <c:pt idx="0">
                  <c:v>Average of Calculo €/L</c:v>
                </c:pt>
              </c:strCache>
            </c:strRef>
          </c:tx>
          <c:spPr>
            <a:ln w="22225" cap="rnd" cmpd="sng" algn="ctr">
              <a:solidFill>
                <a:srgbClr val="FF0000"/>
              </a:solidFill>
              <a:round/>
            </a:ln>
            <a:effectLst/>
          </c:spPr>
          <c:marker>
            <c:symbol val="circle"/>
            <c:size val="4"/>
            <c:spPr>
              <a:solidFill>
                <a:schemeClr val="accent2"/>
              </a:solidFill>
              <a:ln w="9525" cap="flat" cmpd="sng" algn="ctr">
                <a:solidFill>
                  <a:schemeClr val="accent2"/>
                </a:solidFill>
                <a:round/>
              </a:ln>
              <a:effectLst/>
            </c:spPr>
          </c:marker>
          <c:cat>
            <c:multiLvlStrRef>
              <c:f>'Euros-Litro'!$A$2:$A$64</c:f>
              <c:multiLvlStrCache>
                <c:ptCount val="53"/>
                <c:lvl>
                  <c:pt idx="0">
                    <c:v>ago</c:v>
                  </c:pt>
                  <c:pt idx="1">
                    <c:v>sep</c:v>
                  </c:pt>
                  <c:pt idx="2">
                    <c:v>oct</c:v>
                  </c:pt>
                  <c:pt idx="3">
                    <c:v>nov</c:v>
                  </c:pt>
                  <c:pt idx="4">
                    <c:v>dic</c:v>
                  </c:pt>
                  <c:pt idx="5">
                    <c:v>ene</c:v>
                  </c:pt>
                  <c:pt idx="6">
                    <c:v>feb</c:v>
                  </c:pt>
                  <c:pt idx="7">
                    <c:v>mar</c:v>
                  </c:pt>
                  <c:pt idx="8">
                    <c:v>abr</c:v>
                  </c:pt>
                  <c:pt idx="9">
                    <c:v>may</c:v>
                  </c:pt>
                  <c:pt idx="10">
                    <c:v>jun</c:v>
                  </c:pt>
                  <c:pt idx="11">
                    <c:v>jul</c:v>
                  </c:pt>
                  <c:pt idx="12">
                    <c:v>may</c:v>
                  </c:pt>
                  <c:pt idx="13">
                    <c:v>jun</c:v>
                  </c:pt>
                  <c:pt idx="14">
                    <c:v>jul</c:v>
                  </c:pt>
                  <c:pt idx="15">
                    <c:v>sep</c:v>
                  </c:pt>
                  <c:pt idx="16">
                    <c:v>dic</c:v>
                  </c:pt>
                  <c:pt idx="17">
                    <c:v>dic</c:v>
                  </c:pt>
                  <c:pt idx="18">
                    <c:v>may</c:v>
                  </c:pt>
                  <c:pt idx="19">
                    <c:v>jun</c:v>
                  </c:pt>
                  <c:pt idx="20">
                    <c:v>jul</c:v>
                  </c:pt>
                  <c:pt idx="21">
                    <c:v>ago</c:v>
                  </c:pt>
                  <c:pt idx="22">
                    <c:v>sep</c:v>
                  </c:pt>
                  <c:pt idx="23">
                    <c:v>oct</c:v>
                  </c:pt>
                  <c:pt idx="24">
                    <c:v>nov</c:v>
                  </c:pt>
                  <c:pt idx="25">
                    <c:v>dic</c:v>
                  </c:pt>
                  <c:pt idx="26">
                    <c:v>ene</c:v>
                  </c:pt>
                  <c:pt idx="27">
                    <c:v>feb</c:v>
                  </c:pt>
                  <c:pt idx="28">
                    <c:v>mar</c:v>
                  </c:pt>
                  <c:pt idx="29">
                    <c:v>abr</c:v>
                  </c:pt>
                  <c:pt idx="30">
                    <c:v>may</c:v>
                  </c:pt>
                  <c:pt idx="31">
                    <c:v>jun</c:v>
                  </c:pt>
                  <c:pt idx="32">
                    <c:v>jul</c:v>
                  </c:pt>
                  <c:pt idx="33">
                    <c:v>sep</c:v>
                  </c:pt>
                  <c:pt idx="34">
                    <c:v>oct</c:v>
                  </c:pt>
                  <c:pt idx="35">
                    <c:v>nov</c:v>
                  </c:pt>
                  <c:pt idx="36">
                    <c:v>dic</c:v>
                  </c:pt>
                  <c:pt idx="37">
                    <c:v>ene</c:v>
                  </c:pt>
                  <c:pt idx="38">
                    <c:v>mar</c:v>
                  </c:pt>
                  <c:pt idx="39">
                    <c:v>abr</c:v>
                  </c:pt>
                  <c:pt idx="40">
                    <c:v>may</c:v>
                  </c:pt>
                  <c:pt idx="41">
                    <c:v>jun</c:v>
                  </c:pt>
                  <c:pt idx="42">
                    <c:v>jul</c:v>
                  </c:pt>
                  <c:pt idx="43">
                    <c:v>ago</c:v>
                  </c:pt>
                  <c:pt idx="44">
                    <c:v>sep</c:v>
                  </c:pt>
                  <c:pt idx="45">
                    <c:v>oct</c:v>
                  </c:pt>
                  <c:pt idx="46">
                    <c:v>nov</c:v>
                  </c:pt>
                  <c:pt idx="47">
                    <c:v>dic</c:v>
                  </c:pt>
                  <c:pt idx="48">
                    <c:v>ene</c:v>
                  </c:pt>
                  <c:pt idx="49">
                    <c:v>feb</c:v>
                  </c:pt>
                  <c:pt idx="50">
                    <c:v>mar</c:v>
                  </c:pt>
                  <c:pt idx="51">
                    <c:v>abr</c:v>
                  </c:pt>
                  <c:pt idx="52">
                    <c:v>may</c:v>
                  </c:pt>
                </c:lvl>
                <c:lvl>
                  <c:pt idx="0">
                    <c:v>2011</c:v>
                  </c:pt>
                  <c:pt idx="5">
                    <c:v>2012</c:v>
                  </c:pt>
                  <c:pt idx="12">
                    <c:v>2013</c:v>
                  </c:pt>
                  <c:pt idx="16">
                    <c:v>2014</c:v>
                  </c:pt>
                  <c:pt idx="17">
                    <c:v>2015</c:v>
                  </c:pt>
                  <c:pt idx="18">
                    <c:v>2016</c:v>
                  </c:pt>
                  <c:pt idx="26">
                    <c:v>2017</c:v>
                  </c:pt>
                  <c:pt idx="37">
                    <c:v>2018</c:v>
                  </c:pt>
                  <c:pt idx="48">
                    <c:v>2019</c:v>
                  </c:pt>
                </c:lvl>
              </c:multiLvlStrCache>
            </c:multiLvlStrRef>
          </c:cat>
          <c:val>
            <c:numRef>
              <c:f>'Euros-Litro'!$C$2:$C$64</c:f>
              <c:numCache>
                <c:formatCode>General</c:formatCode>
                <c:ptCount val="53"/>
                <c:pt idx="0">
                  <c:v>1.315798585862783</c:v>
                </c:pt>
                <c:pt idx="1">
                  <c:v>1.319</c:v>
                </c:pt>
                <c:pt idx="2">
                  <c:v>1.3320000000000001</c:v>
                </c:pt>
                <c:pt idx="3">
                  <c:v>1.2055837742504409</c:v>
                </c:pt>
                <c:pt idx="4">
                  <c:v>1.3130000000000002</c:v>
                </c:pt>
                <c:pt idx="5">
                  <c:v>1.403</c:v>
                </c:pt>
                <c:pt idx="6">
                  <c:v>1.4300000000000002</c:v>
                </c:pt>
                <c:pt idx="7">
                  <c:v>1.4289999999999998</c:v>
                </c:pt>
                <c:pt idx="8">
                  <c:v>1.5150000000000001</c:v>
                </c:pt>
                <c:pt idx="9">
                  <c:v>1.427</c:v>
                </c:pt>
                <c:pt idx="10">
                  <c:v>1.395</c:v>
                </c:pt>
                <c:pt idx="11">
                  <c:v>1.3880000000000001</c:v>
                </c:pt>
                <c:pt idx="12">
                  <c:v>1.4808133167627009</c:v>
                </c:pt>
                <c:pt idx="13">
                  <c:v>1.4792899408284024</c:v>
                </c:pt>
                <c:pt idx="14">
                  <c:v>1.5060240963855422</c:v>
                </c:pt>
                <c:pt idx="15">
                  <c:v>1.44</c:v>
                </c:pt>
                <c:pt idx="16">
                  <c:v>1.5</c:v>
                </c:pt>
                <c:pt idx="17">
                  <c:v>1.5</c:v>
                </c:pt>
                <c:pt idx="18">
                  <c:v>1.2048192771084336</c:v>
                </c:pt>
                <c:pt idx="19">
                  <c:v>1.2048192771084336</c:v>
                </c:pt>
                <c:pt idx="20">
                  <c:v>1.1666666666666665</c:v>
                </c:pt>
                <c:pt idx="21">
                  <c:v>1.1191588785046729</c:v>
                </c:pt>
                <c:pt idx="22">
                  <c:v>1.159507965315588</c:v>
                </c:pt>
                <c:pt idx="23">
                  <c:v>1.0593220338983051</c:v>
                </c:pt>
                <c:pt idx="24">
                  <c:v>1.0888248752326422</c:v>
                </c:pt>
                <c:pt idx="25">
                  <c:v>1.1185682326621924</c:v>
                </c:pt>
                <c:pt idx="26">
                  <c:v>1.1587485515643103</c:v>
                </c:pt>
                <c:pt idx="27">
                  <c:v>1.1587485515643103</c:v>
                </c:pt>
                <c:pt idx="28">
                  <c:v>1.0970904036046401</c:v>
                </c:pt>
                <c:pt idx="29">
                  <c:v>1.174802958517873</c:v>
                </c:pt>
                <c:pt idx="30">
                  <c:v>1.1842841163310962</c:v>
                </c:pt>
                <c:pt idx="31">
                  <c:v>1.0834554128164675</c:v>
                </c:pt>
                <c:pt idx="32">
                  <c:v>1.0764262648008613</c:v>
                </c:pt>
                <c:pt idx="33">
                  <c:v>1.1074197120708749</c:v>
                </c:pt>
                <c:pt idx="34">
                  <c:v>1.0869565217391306</c:v>
                </c:pt>
                <c:pt idx="35">
                  <c:v>1.1364575584759069</c:v>
                </c:pt>
                <c:pt idx="36">
                  <c:v>1.1574074074074074</c:v>
                </c:pt>
                <c:pt idx="37">
                  <c:v>1.1668611435239207</c:v>
                </c:pt>
                <c:pt idx="38">
                  <c:v>1.1574074074074074</c:v>
                </c:pt>
                <c:pt idx="39">
                  <c:v>1.1760752688172045</c:v>
                </c:pt>
                <c:pt idx="40">
                  <c:v>1.2345679012345681</c:v>
                </c:pt>
                <c:pt idx="41">
                  <c:v>1.2521992406832168</c:v>
                </c:pt>
                <c:pt idx="42">
                  <c:v>1.2437810945273633</c:v>
                </c:pt>
                <c:pt idx="43">
                  <c:v>1.2453300124533002</c:v>
                </c:pt>
                <c:pt idx="44">
                  <c:v>1.256281407035176</c:v>
                </c:pt>
                <c:pt idx="45">
                  <c:v>1.2610520959226512</c:v>
                </c:pt>
                <c:pt idx="46">
                  <c:v>1.262116904637115</c:v>
                </c:pt>
                <c:pt idx="47">
                  <c:v>1.1049723756906076</c:v>
                </c:pt>
                <c:pt idx="48">
                  <c:v>1.1049723756906076</c:v>
                </c:pt>
                <c:pt idx="49">
                  <c:v>1.124859392575928</c:v>
                </c:pt>
                <c:pt idx="50">
                  <c:v>1.1655011655011656</c:v>
                </c:pt>
                <c:pt idx="51">
                  <c:v>1.2254901960784315</c:v>
                </c:pt>
                <c:pt idx="52">
                  <c:v>1.2854234958231996</c:v>
                </c:pt>
              </c:numCache>
            </c:numRef>
          </c:val>
          <c:smooth val="0"/>
          <c:extLst>
            <c:ext xmlns:c16="http://schemas.microsoft.com/office/drawing/2014/chart" uri="{C3380CC4-5D6E-409C-BE32-E72D297353CC}">
              <c16:uniqueId val="{00000001-A43C-4B97-B5B3-C49D59E67C60}"/>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347371912"/>
        <c:axId val="321278912"/>
      </c:lineChart>
      <c:catAx>
        <c:axId val="347371912"/>
        <c:scaling>
          <c:orientation val="minMax"/>
        </c:scaling>
        <c:delete val="0"/>
        <c:axPos val="b"/>
        <c:title>
          <c:tx>
            <c:rich>
              <a:bodyPr rot="0" spcFirstLastPara="1" vertOverflow="ellipsis" vert="horz" wrap="square" anchor="ctr" anchorCtr="1"/>
              <a:lstStyle/>
              <a:p>
                <a:pPr>
                  <a:defRPr sz="900" b="0" i="0" u="none" strike="noStrike" kern="1200" cap="all" baseline="0">
                    <a:solidFill>
                      <a:schemeClr val="dk1">
                        <a:lumMod val="65000"/>
                        <a:lumOff val="35000"/>
                      </a:schemeClr>
                    </a:solidFill>
                    <a:latin typeface="+mn-lt"/>
                    <a:ea typeface="+mn-ea"/>
                    <a:cs typeface="+mn-cs"/>
                  </a:defRPr>
                </a:pPr>
                <a:r>
                  <a:rPr lang="en-GB"/>
                  <a:t>meses</a:t>
                </a:r>
              </a:p>
            </c:rich>
          </c:tx>
          <c:layout/>
          <c:overlay val="0"/>
          <c:spPr>
            <a:noFill/>
            <a:ln>
              <a:noFill/>
            </a:ln>
            <a:effectLst/>
          </c:spPr>
          <c:txPr>
            <a:bodyPr rot="0" spcFirstLastPara="1" vertOverflow="ellipsis" vert="horz" wrap="square" anchor="ctr" anchorCtr="1"/>
            <a:lstStyle/>
            <a:p>
              <a:pPr>
                <a:defRPr sz="900" b="0" i="0" u="none" strike="noStrike" kern="1200" cap="all"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321278912"/>
        <c:crosses val="autoZero"/>
        <c:auto val="1"/>
        <c:lblAlgn val="ctr"/>
        <c:lblOffset val="100"/>
        <c:noMultiLvlLbl val="0"/>
      </c:catAx>
      <c:valAx>
        <c:axId val="321278912"/>
        <c:scaling>
          <c:orientation val="minMax"/>
        </c:scaling>
        <c:delete val="0"/>
        <c:axPos val="l"/>
        <c:title>
          <c:tx>
            <c:rich>
              <a:bodyPr rot="-5400000" spcFirstLastPara="1" vertOverflow="ellipsis" vert="horz" wrap="square" anchor="ctr" anchorCtr="1"/>
              <a:lstStyle/>
              <a:p>
                <a:pPr>
                  <a:defRPr sz="900" b="0" i="0" u="none" strike="noStrike" kern="1200" cap="all" baseline="0">
                    <a:solidFill>
                      <a:schemeClr val="dk1">
                        <a:lumMod val="65000"/>
                        <a:lumOff val="35000"/>
                      </a:schemeClr>
                    </a:solidFill>
                    <a:latin typeface="+mn-lt"/>
                    <a:ea typeface="+mn-ea"/>
                    <a:cs typeface="+mn-cs"/>
                  </a:defRPr>
                </a:pPr>
                <a:r>
                  <a:rPr lang="en-GB"/>
                  <a:t>Euros</a:t>
                </a:r>
              </a:p>
            </c:rich>
          </c:tx>
          <c:layout/>
          <c:overlay val="0"/>
          <c:spPr>
            <a:noFill/>
            <a:ln>
              <a:noFill/>
            </a:ln>
            <a:effectLst/>
          </c:spPr>
          <c:txPr>
            <a:bodyPr rot="-5400000" spcFirstLastPara="1" vertOverflow="ellipsis" vert="horz" wrap="square" anchor="ctr" anchorCtr="1"/>
            <a:lstStyle/>
            <a:p>
              <a:pPr>
                <a:defRPr sz="900" b="0" i="0" u="none" strike="noStrike" kern="1200" cap="all"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347371912"/>
        <c:crosses val="autoZero"/>
        <c:crossBetween val="between"/>
      </c:valAx>
      <c:spPr>
        <a:gradFill>
          <a:gsLst>
            <a:gs pos="100000">
              <a:schemeClr val="lt1">
                <a:lumMod val="95000"/>
              </a:schemeClr>
            </a:gs>
            <a:gs pos="0">
              <a:schemeClr val="lt1"/>
            </a:gs>
          </a:gsLst>
          <a:lin ang="5400000" scaled="0"/>
        </a:grad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accent1">
        <a:lumMod val="60000"/>
        <a:lumOff val="40000"/>
      </a:schemeClr>
    </a:solidFill>
    <a:ln w="12700"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[TablasDinamicasMacrosyGraficas.xlsm]Kilómetros Recorridos!PivotTable4</c:name>
    <c:fmtId val="0"/>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Kms recorridos</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pivotFmt>
      <c:pivotFmt>
        <c:idx val="1"/>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2"/>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s>
    <c:plotArea>
      <c:layout/>
      <c:barChart>
        <c:barDir val="bar"/>
        <c:grouping val="clustered"/>
        <c:varyColors val="0"/>
        <c:ser>
          <c:idx val="0"/>
          <c:order val="0"/>
          <c:tx>
            <c:strRef>
              <c:f>'Kilómetros Recorridos'!$B$1</c:f>
              <c:strCache>
                <c:ptCount val="1"/>
                <c:pt idx="0">
                  <c:v>Total</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cat>
            <c:multiLvlStrRef>
              <c:f>'Kilómetros Recorridos'!$A$2:$A$64</c:f>
              <c:multiLvlStrCache>
                <c:ptCount val="53"/>
                <c:lvl>
                  <c:pt idx="0">
                    <c:v>ago</c:v>
                  </c:pt>
                  <c:pt idx="1">
                    <c:v>sep</c:v>
                  </c:pt>
                  <c:pt idx="2">
                    <c:v>oct</c:v>
                  </c:pt>
                  <c:pt idx="3">
                    <c:v>nov</c:v>
                  </c:pt>
                  <c:pt idx="4">
                    <c:v>dic</c:v>
                  </c:pt>
                  <c:pt idx="5">
                    <c:v>ene</c:v>
                  </c:pt>
                  <c:pt idx="6">
                    <c:v>feb</c:v>
                  </c:pt>
                  <c:pt idx="7">
                    <c:v>mar</c:v>
                  </c:pt>
                  <c:pt idx="8">
                    <c:v>abr</c:v>
                  </c:pt>
                  <c:pt idx="9">
                    <c:v>may</c:v>
                  </c:pt>
                  <c:pt idx="10">
                    <c:v>jun</c:v>
                  </c:pt>
                  <c:pt idx="11">
                    <c:v>jul</c:v>
                  </c:pt>
                  <c:pt idx="12">
                    <c:v>may</c:v>
                  </c:pt>
                  <c:pt idx="13">
                    <c:v>jun</c:v>
                  </c:pt>
                  <c:pt idx="14">
                    <c:v>jul</c:v>
                  </c:pt>
                  <c:pt idx="15">
                    <c:v>sep</c:v>
                  </c:pt>
                  <c:pt idx="16">
                    <c:v>dic</c:v>
                  </c:pt>
                  <c:pt idx="17">
                    <c:v>dic</c:v>
                  </c:pt>
                  <c:pt idx="18">
                    <c:v>may</c:v>
                  </c:pt>
                  <c:pt idx="19">
                    <c:v>jun</c:v>
                  </c:pt>
                  <c:pt idx="20">
                    <c:v>jul</c:v>
                  </c:pt>
                  <c:pt idx="21">
                    <c:v>ago</c:v>
                  </c:pt>
                  <c:pt idx="22">
                    <c:v>sep</c:v>
                  </c:pt>
                  <c:pt idx="23">
                    <c:v>oct</c:v>
                  </c:pt>
                  <c:pt idx="24">
                    <c:v>nov</c:v>
                  </c:pt>
                  <c:pt idx="25">
                    <c:v>dic</c:v>
                  </c:pt>
                  <c:pt idx="26">
                    <c:v>ene</c:v>
                  </c:pt>
                  <c:pt idx="27">
                    <c:v>feb</c:v>
                  </c:pt>
                  <c:pt idx="28">
                    <c:v>mar</c:v>
                  </c:pt>
                  <c:pt idx="29">
                    <c:v>abr</c:v>
                  </c:pt>
                  <c:pt idx="30">
                    <c:v>may</c:v>
                  </c:pt>
                  <c:pt idx="31">
                    <c:v>jun</c:v>
                  </c:pt>
                  <c:pt idx="32">
                    <c:v>jul</c:v>
                  </c:pt>
                  <c:pt idx="33">
                    <c:v>sep</c:v>
                  </c:pt>
                  <c:pt idx="34">
                    <c:v>oct</c:v>
                  </c:pt>
                  <c:pt idx="35">
                    <c:v>nov</c:v>
                  </c:pt>
                  <c:pt idx="36">
                    <c:v>dic</c:v>
                  </c:pt>
                  <c:pt idx="37">
                    <c:v>ene</c:v>
                  </c:pt>
                  <c:pt idx="38">
                    <c:v>mar</c:v>
                  </c:pt>
                  <c:pt idx="39">
                    <c:v>abr</c:v>
                  </c:pt>
                  <c:pt idx="40">
                    <c:v>may</c:v>
                  </c:pt>
                  <c:pt idx="41">
                    <c:v>jun</c:v>
                  </c:pt>
                  <c:pt idx="42">
                    <c:v>jul</c:v>
                  </c:pt>
                  <c:pt idx="43">
                    <c:v>ago</c:v>
                  </c:pt>
                  <c:pt idx="44">
                    <c:v>sep</c:v>
                  </c:pt>
                  <c:pt idx="45">
                    <c:v>oct</c:v>
                  </c:pt>
                  <c:pt idx="46">
                    <c:v>nov</c:v>
                  </c:pt>
                  <c:pt idx="47">
                    <c:v>dic</c:v>
                  </c:pt>
                  <c:pt idx="48">
                    <c:v>ene</c:v>
                  </c:pt>
                  <c:pt idx="49">
                    <c:v>feb</c:v>
                  </c:pt>
                  <c:pt idx="50">
                    <c:v>mar</c:v>
                  </c:pt>
                  <c:pt idx="51">
                    <c:v>abr</c:v>
                  </c:pt>
                  <c:pt idx="52">
                    <c:v>may</c:v>
                  </c:pt>
                </c:lvl>
                <c:lvl>
                  <c:pt idx="0">
                    <c:v>2011</c:v>
                  </c:pt>
                  <c:pt idx="5">
                    <c:v>2012</c:v>
                  </c:pt>
                  <c:pt idx="12">
                    <c:v>2013</c:v>
                  </c:pt>
                  <c:pt idx="16">
                    <c:v>2014</c:v>
                  </c:pt>
                  <c:pt idx="17">
                    <c:v>2015</c:v>
                  </c:pt>
                  <c:pt idx="18">
                    <c:v>2016</c:v>
                  </c:pt>
                  <c:pt idx="26">
                    <c:v>2017</c:v>
                  </c:pt>
                  <c:pt idx="37">
                    <c:v>2018</c:v>
                  </c:pt>
                  <c:pt idx="48">
                    <c:v>2019</c:v>
                  </c:pt>
                </c:lvl>
              </c:multiLvlStrCache>
            </c:multiLvlStrRef>
          </c:cat>
          <c:val>
            <c:numRef>
              <c:f>'Kilómetros Recorridos'!$B$2:$B$64</c:f>
              <c:numCache>
                <c:formatCode>General</c:formatCode>
                <c:ptCount val="53"/>
                <c:pt idx="0">
                  <c:v>236.5</c:v>
                </c:pt>
                <c:pt idx="1">
                  <c:v>974.10000000000036</c:v>
                </c:pt>
                <c:pt idx="2">
                  <c:v>197.70000000000073</c:v>
                </c:pt>
                <c:pt idx="3">
                  <c:v>504.19999999999891</c:v>
                </c:pt>
                <c:pt idx="4">
                  <c:v>361.70000000000073</c:v>
                </c:pt>
                <c:pt idx="5">
                  <c:v>354.70000000000073</c:v>
                </c:pt>
                <c:pt idx="6">
                  <c:v>399.69999999999891</c:v>
                </c:pt>
                <c:pt idx="7">
                  <c:v>370.80000000000109</c:v>
                </c:pt>
                <c:pt idx="8">
                  <c:v>309.19999999999891</c:v>
                </c:pt>
                <c:pt idx="9">
                  <c:v>385.30000000000109</c:v>
                </c:pt>
                <c:pt idx="10">
                  <c:v>321.09999999999854</c:v>
                </c:pt>
                <c:pt idx="11">
                  <c:v>754.70000000000073</c:v>
                </c:pt>
                <c:pt idx="12">
                  <c:v>408.89999999999964</c:v>
                </c:pt>
                <c:pt idx="13">
                  <c:v>222.80000000000109</c:v>
                </c:pt>
                <c:pt idx="14">
                  <c:v>172.19999999999891</c:v>
                </c:pt>
                <c:pt idx="15">
                  <c:v>280.60000000000036</c:v>
                </c:pt>
                <c:pt idx="16">
                  <c:v>1500</c:v>
                </c:pt>
                <c:pt idx="17">
                  <c:v>1015</c:v>
                </c:pt>
                <c:pt idx="18">
                  <c:v>307</c:v>
                </c:pt>
                <c:pt idx="19">
                  <c:v>628</c:v>
                </c:pt>
                <c:pt idx="20">
                  <c:v>324</c:v>
                </c:pt>
                <c:pt idx="21">
                  <c:v>161</c:v>
                </c:pt>
                <c:pt idx="22">
                  <c:v>676</c:v>
                </c:pt>
                <c:pt idx="23">
                  <c:v>173</c:v>
                </c:pt>
                <c:pt idx="24">
                  <c:v>521</c:v>
                </c:pt>
                <c:pt idx="25">
                  <c:v>330</c:v>
                </c:pt>
                <c:pt idx="26">
                  <c:v>329</c:v>
                </c:pt>
                <c:pt idx="27">
                  <c:v>364</c:v>
                </c:pt>
                <c:pt idx="28">
                  <c:v>507.5</c:v>
                </c:pt>
                <c:pt idx="29">
                  <c:v>330.5</c:v>
                </c:pt>
                <c:pt idx="30">
                  <c:v>530</c:v>
                </c:pt>
                <c:pt idx="31">
                  <c:v>522.70000000000073</c:v>
                </c:pt>
                <c:pt idx="32">
                  <c:v>354.73999999999796</c:v>
                </c:pt>
                <c:pt idx="33">
                  <c:v>330.56000000000131</c:v>
                </c:pt>
                <c:pt idx="34">
                  <c:v>358</c:v>
                </c:pt>
                <c:pt idx="35">
                  <c:v>450.59999999999854</c:v>
                </c:pt>
                <c:pt idx="36">
                  <c:v>165.40000000000146</c:v>
                </c:pt>
                <c:pt idx="37">
                  <c:v>586</c:v>
                </c:pt>
                <c:pt idx="38">
                  <c:v>291.59999999999854</c:v>
                </c:pt>
                <c:pt idx="39">
                  <c:v>439.70000000000073</c:v>
                </c:pt>
                <c:pt idx="40">
                  <c:v>134.29999999999927</c:v>
                </c:pt>
                <c:pt idx="41">
                  <c:v>592.40000000000146</c:v>
                </c:pt>
                <c:pt idx="42">
                  <c:v>130</c:v>
                </c:pt>
                <c:pt idx="43">
                  <c:v>296.70000000000073</c:v>
                </c:pt>
                <c:pt idx="44">
                  <c:v>273.20000000000073</c:v>
                </c:pt>
                <c:pt idx="45">
                  <c:v>288.09999999999854</c:v>
                </c:pt>
                <c:pt idx="46">
                  <c:v>640</c:v>
                </c:pt>
                <c:pt idx="47">
                  <c:v>398</c:v>
                </c:pt>
                <c:pt idx="48">
                  <c:v>321</c:v>
                </c:pt>
                <c:pt idx="49">
                  <c:v>314.29999999999927</c:v>
                </c:pt>
                <c:pt idx="50">
                  <c:v>334</c:v>
                </c:pt>
                <c:pt idx="51">
                  <c:v>280</c:v>
                </c:pt>
                <c:pt idx="52">
                  <c:v>152.10000000000218</c:v>
                </c:pt>
              </c:numCache>
            </c:numRef>
          </c:val>
          <c:extLst>
            <c:ext xmlns:c16="http://schemas.microsoft.com/office/drawing/2014/chart" uri="{C3380CC4-5D6E-409C-BE32-E72D297353CC}">
              <c16:uniqueId val="{00000000-B35B-469B-B37E-3F0A93350849}"/>
            </c:ext>
          </c:extLst>
        </c:ser>
        <c:dLbls>
          <c:showLegendKey val="0"/>
          <c:showVal val="0"/>
          <c:showCatName val="0"/>
          <c:showSerName val="0"/>
          <c:showPercent val="0"/>
          <c:showBubbleSize val="0"/>
        </c:dLbls>
        <c:gapWidth val="182"/>
        <c:overlap val="-50"/>
        <c:axId val="441643848"/>
        <c:axId val="441647128"/>
      </c:barChart>
      <c:catAx>
        <c:axId val="441643848"/>
        <c:scaling>
          <c:orientation val="minMax"/>
        </c:scaling>
        <c:delete val="0"/>
        <c:axPos val="l"/>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1647128"/>
        <c:crosses val="autoZero"/>
        <c:auto val="1"/>
        <c:lblAlgn val="ctr"/>
        <c:lblOffset val="100"/>
        <c:noMultiLvlLbl val="0"/>
      </c:catAx>
      <c:valAx>
        <c:axId val="441647128"/>
        <c:scaling>
          <c:orientation val="minMax"/>
        </c:scaling>
        <c:delete val="0"/>
        <c:axPos val="b"/>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1643848"/>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chart>
  <c:spPr>
    <a:solidFill>
      <a:schemeClr val="dk1">
        <a:lumMod val="75000"/>
        <a:lumOff val="25000"/>
      </a:schemeClr>
    </a:solidFill>
    <a:ln w="9525" cap="flat" cmpd="sng" algn="ctr">
      <a:solidFill>
        <a:srgbClr val="FFC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5">
  <a:schemeClr val="accent2"/>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50000"/>
            <a:lumOff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4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339">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dk1">
                <a:lumMod val="65000"/>
                <a:lumOff val="35000"/>
              </a:schemeClr>
            </a:gs>
            <a:gs pos="100000">
              <a:schemeClr val="dk1">
                <a:lumMod val="75000"/>
                <a:lumOff val="25000"/>
              </a:schemeClr>
            </a:gs>
          </a:gsLst>
          <a:lin ang="10800000" scaled="0"/>
        </a:gradFill>
        <a:round/>
      </a:ln>
      <a:effectLst/>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4</xdr:col>
      <xdr:colOff>28575</xdr:colOff>
      <xdr:row>0</xdr:row>
      <xdr:rowOff>28575</xdr:rowOff>
    </xdr:from>
    <xdr:to>
      <xdr:col>13</xdr:col>
      <xdr:colOff>342900</xdr:colOff>
      <xdr:row>21</xdr:row>
      <xdr:rowOff>95250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33336</xdr:colOff>
      <xdr:row>22</xdr:row>
      <xdr:rowOff>28574</xdr:rowOff>
    </xdr:from>
    <xdr:to>
      <xdr:col>13</xdr:col>
      <xdr:colOff>333375</xdr:colOff>
      <xdr:row>45</xdr:row>
      <xdr:rowOff>0</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14287</xdr:colOff>
      <xdr:row>0</xdr:row>
      <xdr:rowOff>47625</xdr:rowOff>
    </xdr:from>
    <xdr:to>
      <xdr:col>21</xdr:col>
      <xdr:colOff>323851</xdr:colOff>
      <xdr:row>40</xdr:row>
      <xdr:rowOff>19050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19050</xdr:colOff>
      <xdr:row>0</xdr:row>
      <xdr:rowOff>66672</xdr:rowOff>
    </xdr:from>
    <xdr:to>
      <xdr:col>15</xdr:col>
      <xdr:colOff>552450</xdr:colOff>
      <xdr:row>80</xdr:row>
      <xdr:rowOff>152399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Masso Saiz, Luis" refreshedDate="43621.658524421298" createdVersion="6" refreshedVersion="6" minRefreshableVersion="3" recordCount="149">
  <cacheSource type="worksheet">
    <worksheetSource ref="A1:H150" sheet="Consumos"/>
  </cacheSource>
  <cacheFields count="10">
    <cacheField name="FECHA" numFmtId="14">
      <sharedItems containsNonDate="0" containsDate="1" containsString="0" containsBlank="1" minDate="2011-08-16T00:00:00" maxDate="2019-06-01T00:00:00" count="79">
        <d v="2011-08-16T00:00:00"/>
        <d v="2011-08-23T00:00:00"/>
        <d v="2011-09-01T00:00:00"/>
        <d v="2011-09-21T00:00:00"/>
        <d v="2011-09-29T00:00:00"/>
        <d v="2011-10-20T00:00:00"/>
        <d v="2011-11-02T00:00:00"/>
        <d v="2011-11-14T00:00:00"/>
        <d v="2011-11-29T00:00:00"/>
        <d v="2011-12-14T00:00:00"/>
        <d v="2012-01-17T00:00:00"/>
        <d v="2012-01-29T00:00:00"/>
        <d v="2012-02-06T00:00:00"/>
        <d v="2012-02-17T00:00:00"/>
        <d v="2012-03-01T00:00:00"/>
        <d v="2012-04-12T00:00:00"/>
        <d v="2012-05-14T00:00:00"/>
        <d v="2012-05-29T00:00:00"/>
        <d v="2012-06-08T00:00:00"/>
        <d v="2012-07-02T00:00:00"/>
        <d v="2013-05-18T00:00:00"/>
        <d v="2013-05-27T00:00:00"/>
        <d v="2013-05-30T00:00:00"/>
        <d v="2013-06-04T00:00:00"/>
        <d v="2013-07-30T00:00:00"/>
        <d v="2013-09-29T00:00:00"/>
        <d v="2014-12-31T00:00:00"/>
        <d v="2015-12-31T00:00:00"/>
        <d v="2016-05-30T00:00:00"/>
        <d v="2016-06-15T00:00:00"/>
        <d v="2016-07-04T00:00:00"/>
        <d v="2016-08-31T00:00:00"/>
        <d v="2016-09-09T00:00:00"/>
        <d v="2016-09-30T00:00:00"/>
        <d v="2016-10-24T00:00:00"/>
        <d v="2016-11-03T00:00:00"/>
        <d v="2016-11-28T00:00:00"/>
        <d v="2016-12-12T00:00:00"/>
        <d v="2017-01-12T00:00:00"/>
        <d v="2017-02-07T00:00:00"/>
        <d v="2017-03-03T00:00:00"/>
        <d v="2017-03-23T00:00:00"/>
        <d v="2017-04-03T00:00:00"/>
        <d v="2017-04-20T00:00:00"/>
        <d v="2017-05-03T00:00:00"/>
        <d v="2017-05-27T00:00:00"/>
        <d v="2017-06-05T00:00:00"/>
        <d v="2017-06-28T00:00:00"/>
        <d v="2017-07-15T00:00:00"/>
        <d v="2017-09-18T00:00:00"/>
        <d v="2017-10-17T00:00:00"/>
        <d v="2017-11-10T00:00:00"/>
        <d v="2017-11-28T00:00:00"/>
        <d v="2017-12-19T00:00:00"/>
        <d v="2018-01-05T00:00:00"/>
        <d v="2018-03-12T00:00:00"/>
        <d v="2018-04-13T00:00:00"/>
        <d v="2018-04-28T00:00:00"/>
        <d v="2018-05-21T00:00:00"/>
        <d v="2018-06-01T00:00:00"/>
        <d v="2018-06-18T00:00:00"/>
        <d v="2018-06-28T00:00:00"/>
        <d v="2018-07-23T00:00:00"/>
        <d v="2018-08-03T00:00:00"/>
        <d v="2018-09-13T00:00:00"/>
        <d v="2018-09-24T00:00:00"/>
        <d v="2018-10-04T00:00:00"/>
        <d v="2018-10-22T00:00:00"/>
        <d v="2018-11-05T00:00:00"/>
        <d v="2018-11-15T00:00:00"/>
        <d v="2018-11-24T00:00:00"/>
        <d v="2018-12-17T00:00:00"/>
        <d v="2019-01-31T00:00:00"/>
        <d v="2019-02-28T00:00:00"/>
        <d v="2019-03-25T00:00:00"/>
        <d v="2019-04-24T00:00:00"/>
        <d v="2019-05-20T00:00:00"/>
        <d v="2019-05-31T00:00:00"/>
        <m/>
      </sharedItems>
      <fieldGroup par="9" base="0">
        <rangePr groupBy="months" startDate="2011-08-16T00:00:00" endDate="2019-06-01T00:00:00"/>
        <groupItems count="14">
          <s v="(blank)"/>
          <s v="ene"/>
          <s v="feb"/>
          <s v="mar"/>
          <s v="abr"/>
          <s v="may"/>
          <s v="jun"/>
          <s v="jul"/>
          <s v="ago"/>
          <s v="sep"/>
          <s v="oct"/>
          <s v="nov"/>
          <s v="dic"/>
          <s v="&gt;01/06/2019"/>
        </groupItems>
      </fieldGroup>
    </cacheField>
    <cacheField name="DIAS" numFmtId="0">
      <sharedItems containsBlank="1" containsMixedTypes="1" containsNumber="1" containsInteger="1" minValue="3" maxValue="458"/>
    </cacheField>
    <cacheField name="LITROS" numFmtId="0">
      <sharedItems containsString="0" containsBlank="1" containsNumber="1" minValue="2.65" maxValue="18.73"/>
    </cacheField>
    <cacheField name="DINERO" numFmtId="0">
      <sharedItems containsString="0" containsBlank="1" containsNumber="1" minValue="4" maxValue="28.094999999999999"/>
    </cacheField>
    <cacheField name="€/LITRO" numFmtId="0">
      <sharedItems containsString="0" containsBlank="1" containsNumber="1" minValue="1.06" maxValue="1.69"/>
    </cacheField>
    <cacheField name="KMS" numFmtId="0">
      <sharedItems containsString="0" containsBlank="1" containsNumber="1" minValue="9745.7999999999993" maxValue="31349.4"/>
    </cacheField>
    <cacheField name="Kms Recorridos" numFmtId="0">
      <sharedItems containsBlank="1" containsMixedTypes="1" containsNumber="1" minValue="48" maxValue="1500"/>
    </cacheField>
    <cacheField name="Calculo €/L" numFmtId="2">
      <sharedItems containsMixedTypes="1" containsNumber="1" minValue="1" maxValue="1.5150000000000001"/>
    </cacheField>
    <cacheField name="Quarters" numFmtId="0" databaseField="0">
      <fieldGroup base="0">
        <rangePr groupBy="quarters" startDate="2011-08-16T00:00:00" endDate="2019-06-01T00:00:00"/>
        <groupItems count="6">
          <s v="&lt;16/08/2011"/>
          <s v="Qtr1"/>
          <s v="Qtr2"/>
          <s v="Qtr3"/>
          <s v="Qtr4"/>
          <s v="&gt;01/06/2019"/>
        </groupItems>
      </fieldGroup>
    </cacheField>
    <cacheField name="Years" numFmtId="0" databaseField="0">
      <fieldGroup base="0">
        <rangePr groupBy="years" startDate="2011-08-16T00:00:00" endDate="2019-06-01T00:00:00"/>
        <groupItems count="11">
          <s v="&lt;16/08/2011"/>
          <s v="2011"/>
          <s v="2012"/>
          <s v="2013"/>
          <s v="2014"/>
          <s v="2015"/>
          <s v="2016"/>
          <s v="2017"/>
          <s v="2018"/>
          <s v="2019"/>
          <s v="&gt;01/06/2019"/>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Masso Saiz, Luis" refreshedDate="43621.658526041669" createdVersion="6" refreshedVersion="6" minRefreshableVersion="3" recordCount="149">
  <cacheSource type="worksheet">
    <worksheetSource ref="A1:G150" sheet="Consumos"/>
  </cacheSource>
  <cacheFields count="9">
    <cacheField name="FECHA" numFmtId="14">
      <sharedItems containsNonDate="0" containsDate="1" containsString="0" containsBlank="1" minDate="2011-08-16T00:00:00" maxDate="2019-06-01T00:00:00" count="79">
        <d v="2011-08-16T00:00:00"/>
        <d v="2011-08-23T00:00:00"/>
        <d v="2011-09-01T00:00:00"/>
        <d v="2011-09-21T00:00:00"/>
        <d v="2011-09-29T00:00:00"/>
        <d v="2011-10-20T00:00:00"/>
        <d v="2011-11-02T00:00:00"/>
        <d v="2011-11-14T00:00:00"/>
        <d v="2011-11-29T00:00:00"/>
        <d v="2011-12-14T00:00:00"/>
        <d v="2012-01-17T00:00:00"/>
        <d v="2012-01-29T00:00:00"/>
        <d v="2012-02-06T00:00:00"/>
        <d v="2012-02-17T00:00:00"/>
        <d v="2012-03-01T00:00:00"/>
        <d v="2012-04-12T00:00:00"/>
        <d v="2012-05-14T00:00:00"/>
        <d v="2012-05-29T00:00:00"/>
        <d v="2012-06-08T00:00:00"/>
        <d v="2012-07-02T00:00:00"/>
        <d v="2013-05-18T00:00:00"/>
        <d v="2013-05-27T00:00:00"/>
        <d v="2013-05-30T00:00:00"/>
        <d v="2013-06-04T00:00:00"/>
        <d v="2013-07-30T00:00:00"/>
        <d v="2013-09-29T00:00:00"/>
        <d v="2014-12-31T00:00:00"/>
        <d v="2015-12-31T00:00:00"/>
        <d v="2016-05-30T00:00:00"/>
        <d v="2016-06-15T00:00:00"/>
        <d v="2016-07-04T00:00:00"/>
        <d v="2016-08-31T00:00:00"/>
        <d v="2016-09-09T00:00:00"/>
        <d v="2016-09-30T00:00:00"/>
        <d v="2016-10-24T00:00:00"/>
        <d v="2016-11-03T00:00:00"/>
        <d v="2016-11-28T00:00:00"/>
        <d v="2016-12-12T00:00:00"/>
        <d v="2017-01-12T00:00:00"/>
        <d v="2017-02-07T00:00:00"/>
        <d v="2017-03-03T00:00:00"/>
        <d v="2017-03-23T00:00:00"/>
        <d v="2017-04-03T00:00:00"/>
        <d v="2017-04-20T00:00:00"/>
        <d v="2017-05-03T00:00:00"/>
        <d v="2017-05-27T00:00:00"/>
        <d v="2017-06-05T00:00:00"/>
        <d v="2017-06-28T00:00:00"/>
        <d v="2017-07-15T00:00:00"/>
        <d v="2017-09-18T00:00:00"/>
        <d v="2017-10-17T00:00:00"/>
        <d v="2017-11-10T00:00:00"/>
        <d v="2017-11-28T00:00:00"/>
        <d v="2017-12-19T00:00:00"/>
        <d v="2018-01-05T00:00:00"/>
        <d v="2018-03-12T00:00:00"/>
        <d v="2018-04-13T00:00:00"/>
        <d v="2018-04-28T00:00:00"/>
        <d v="2018-05-21T00:00:00"/>
        <d v="2018-06-01T00:00:00"/>
        <d v="2018-06-18T00:00:00"/>
        <d v="2018-06-28T00:00:00"/>
        <d v="2018-07-23T00:00:00"/>
        <d v="2018-08-03T00:00:00"/>
        <d v="2018-09-13T00:00:00"/>
        <d v="2018-09-24T00:00:00"/>
        <d v="2018-10-04T00:00:00"/>
        <d v="2018-10-22T00:00:00"/>
        <d v="2018-11-05T00:00:00"/>
        <d v="2018-11-15T00:00:00"/>
        <d v="2018-11-24T00:00:00"/>
        <d v="2018-12-17T00:00:00"/>
        <d v="2019-01-31T00:00:00"/>
        <d v="2019-02-28T00:00:00"/>
        <d v="2019-03-25T00:00:00"/>
        <d v="2019-04-24T00:00:00"/>
        <d v="2019-05-20T00:00:00"/>
        <d v="2019-05-31T00:00:00"/>
        <m/>
      </sharedItems>
      <fieldGroup par="8" base="0">
        <rangePr groupBy="months" startDate="2011-08-16T00:00:00" endDate="2019-06-01T00:00:00"/>
        <groupItems count="14">
          <s v="(blank)"/>
          <s v="ene"/>
          <s v="feb"/>
          <s v="mar"/>
          <s v="abr"/>
          <s v="may"/>
          <s v="jun"/>
          <s v="jul"/>
          <s v="ago"/>
          <s v="sep"/>
          <s v="oct"/>
          <s v="nov"/>
          <s v="dic"/>
          <s v="&gt;01/06/2019"/>
        </groupItems>
      </fieldGroup>
    </cacheField>
    <cacheField name="DIAS" numFmtId="0">
      <sharedItems containsBlank="1" containsMixedTypes="1" containsNumber="1" containsInteger="1" minValue="3" maxValue="458"/>
    </cacheField>
    <cacheField name="LITROS" numFmtId="0">
      <sharedItems containsString="0" containsBlank="1" containsNumber="1" minValue="2.65" maxValue="18.73"/>
    </cacheField>
    <cacheField name="DINERO" numFmtId="0">
      <sharedItems containsString="0" containsBlank="1" containsNumber="1" minValue="4" maxValue="28.094999999999999"/>
    </cacheField>
    <cacheField name="€/LITRO" numFmtId="0">
      <sharedItems containsString="0" containsBlank="1" containsNumber="1" minValue="1.06" maxValue="1.69"/>
    </cacheField>
    <cacheField name="KMS" numFmtId="0">
      <sharedItems containsString="0" containsBlank="1" containsNumber="1" minValue="9745.7999999999993" maxValue="31349.4"/>
    </cacheField>
    <cacheField name="Kms Recorridos" numFmtId="0">
      <sharedItems containsBlank="1" containsMixedTypes="1" containsNumber="1" minValue="48" maxValue="1500"/>
    </cacheField>
    <cacheField name="Quarters" numFmtId="0" databaseField="0">
      <fieldGroup base="0">
        <rangePr groupBy="quarters" startDate="2011-08-16T00:00:00" endDate="2019-06-01T00:00:00"/>
        <groupItems count="6">
          <s v="&lt;16/08/2011"/>
          <s v="Qtr1"/>
          <s v="Qtr2"/>
          <s v="Qtr3"/>
          <s v="Qtr4"/>
          <s v="&gt;01/06/2019"/>
        </groupItems>
      </fieldGroup>
    </cacheField>
    <cacheField name="Years" numFmtId="0" databaseField="0">
      <fieldGroup base="0">
        <rangePr groupBy="years" startDate="2011-08-16T00:00:00" endDate="2019-06-01T00:00:00"/>
        <groupItems count="11">
          <s v="&lt;16/08/2011"/>
          <s v="2011"/>
          <s v="2012"/>
          <s v="2013"/>
          <s v="2014"/>
          <s v="2015"/>
          <s v="2016"/>
          <s v="2017"/>
          <s v="2018"/>
          <s v="2019"/>
          <s v="&gt;01/06/2019"/>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49">
  <r>
    <x v="0"/>
    <n v="7"/>
    <n v="3.79"/>
    <n v="5"/>
    <n v="1.31"/>
    <n v="9745.7999999999993"/>
    <n v="95"/>
    <n v="1.3192612137203166"/>
  </r>
  <r>
    <x v="1"/>
    <n v="9"/>
    <n v="3.81"/>
    <n v="5"/>
    <n v="1.31"/>
    <n v="9840.7999999999993"/>
    <n v="141.5"/>
    <n v="1.3123359580052494"/>
  </r>
  <r>
    <x v="2"/>
    <n v="20"/>
    <n v="10"/>
    <n v="13.37"/>
    <n v="1.337"/>
    <n v="9982.2999999999993"/>
    <n v="425.20000000000073"/>
    <n v="1.337"/>
  </r>
  <r>
    <x v="3"/>
    <n v="8"/>
    <n v="5"/>
    <n v="6.49"/>
    <n v="1.3580000000000001"/>
    <n v="10407.5"/>
    <n v="173.5"/>
    <n v="1.298"/>
  </r>
  <r>
    <x v="4"/>
    <n v="21"/>
    <n v="10"/>
    <n v="13.22"/>
    <n v="1.3220000000000001"/>
    <n v="10581"/>
    <n v="375.39999999999964"/>
    <n v="1.3220000000000001"/>
  </r>
  <r>
    <x v="5"/>
    <n v="13"/>
    <n v="5"/>
    <n v="6.66"/>
    <n v="1.33"/>
    <n v="10956.4"/>
    <n v="197.70000000000073"/>
    <n v="1.3320000000000001"/>
  </r>
  <r>
    <x v="6"/>
    <n v="12"/>
    <n v="3.78"/>
    <n v="5"/>
    <n v="1.32"/>
    <n v="11154.1"/>
    <n v="138.79999999999927"/>
    <n v="1.3227513227513228"/>
  </r>
  <r>
    <x v="7"/>
    <n v="15"/>
    <n v="5"/>
    <n v="5"/>
    <n v="1.3"/>
    <n v="11292.9"/>
    <n v="201.10000000000036"/>
    <n v="1"/>
  </r>
  <r>
    <x v="8"/>
    <n v="15"/>
    <n v="5"/>
    <n v="6.47"/>
    <n v="1.29"/>
    <n v="11494"/>
    <n v="164.29999999999927"/>
    <n v="1.294"/>
  </r>
  <r>
    <x v="9"/>
    <n v="34"/>
    <n v="10"/>
    <n v="13.13"/>
    <n v="1.31"/>
    <n v="11658.3"/>
    <n v="361.70000000000073"/>
    <n v="1.3130000000000002"/>
  </r>
  <r>
    <x v="10"/>
    <n v="12"/>
    <n v="5"/>
    <n v="7"/>
    <n v="1.4"/>
    <n v="12020"/>
    <n v="206.70000000000073"/>
    <n v="1.4"/>
  </r>
  <r>
    <x v="11"/>
    <n v="8"/>
    <n v="5"/>
    <n v="7.03"/>
    <n v="1.405"/>
    <n v="12226.7"/>
    <n v="148"/>
    <n v="1.4060000000000001"/>
  </r>
  <r>
    <x v="12"/>
    <n v="11"/>
    <n v="5"/>
    <n v="7.03"/>
    <n v="1.405"/>
    <n v="12374.7"/>
    <n v="181.29999999999927"/>
    <n v="1.4060000000000001"/>
  </r>
  <r>
    <x v="13"/>
    <n v="13"/>
    <n v="5"/>
    <n v="7.27"/>
    <n v="1.454"/>
    <n v="12556"/>
    <n v="218.39999999999964"/>
    <n v="1.454"/>
  </r>
  <r>
    <x v="14"/>
    <n v="42"/>
    <n v="10"/>
    <n v="14.29"/>
    <n v="1.4790000000000001"/>
    <n v="12774.4"/>
    <n v="370.80000000000109"/>
    <n v="1.4289999999999998"/>
  </r>
  <r>
    <x v="15"/>
    <n v="32"/>
    <n v="10"/>
    <n v="15.15"/>
    <n v="1.5149999999999999"/>
    <n v="13145.2"/>
    <n v="309.19999999999891"/>
    <n v="1.5150000000000001"/>
  </r>
  <r>
    <x v="16"/>
    <n v="15"/>
    <n v="5"/>
    <n v="7.12"/>
    <n v="1.423"/>
    <n v="13454.4"/>
    <n v="228.89999999999964"/>
    <n v="1.4239999999999999"/>
  </r>
  <r>
    <x v="17"/>
    <n v="10"/>
    <n v="4"/>
    <n v="5.72"/>
    <n v="1.431"/>
    <n v="13683.3"/>
    <n v="156.40000000000146"/>
    <n v="1.43"/>
  </r>
  <r>
    <x v="18"/>
    <n v="24"/>
    <n v="8"/>
    <n v="11.16"/>
    <n v="1.39"/>
    <n v="13839.7"/>
    <n v="321.09999999999854"/>
    <n v="1.395"/>
  </r>
  <r>
    <x v="19"/>
    <n v="320"/>
    <n v="10"/>
    <n v="13.88"/>
    <n v="1.39"/>
    <n v="14160.8"/>
    <n v="754.70000000000073"/>
    <n v="1.3880000000000001"/>
  </r>
  <r>
    <x v="20"/>
    <n v="9"/>
    <n v="5"/>
    <n v="7.18"/>
    <n v="1.44"/>
    <n v="14915.5"/>
    <n v="296.5"/>
    <n v="1.4359999999999999"/>
  </r>
  <r>
    <x v="21"/>
    <n v="3"/>
    <n v="2.65"/>
    <n v="4"/>
    <n v="1.49"/>
    <n v="15212"/>
    <n v="48"/>
    <n v="1.5094339622641511"/>
  </r>
  <r>
    <x v="22"/>
    <n v="5"/>
    <n v="3.34"/>
    <n v="5"/>
    <n v="1.5"/>
    <n v="15260"/>
    <n v="64.399999999999636"/>
    <n v="1.4970059880239521"/>
  </r>
  <r>
    <x v="23"/>
    <n v="56"/>
    <n v="6.76"/>
    <n v="10"/>
    <n v="1.47"/>
    <n v="15324.4"/>
    <n v="222.80000000000109"/>
    <n v="1.4792899408284024"/>
  </r>
  <r>
    <x v="24"/>
    <n v="61"/>
    <n v="3.32"/>
    <n v="5"/>
    <n v="1.5"/>
    <n v="15547.2"/>
    <n v="172.19999999999891"/>
    <n v="1.5060240963855422"/>
  </r>
  <r>
    <x v="25"/>
    <n v="458"/>
    <n v="5"/>
    <n v="7.2"/>
    <n v="1.5"/>
    <n v="15719.4"/>
    <n v="280.60000000000036"/>
    <n v="1.44"/>
  </r>
  <r>
    <x v="26"/>
    <n v="365"/>
    <n v="18.73"/>
    <n v="28.094999999999999"/>
    <n v="1.5"/>
    <n v="16000"/>
    <n v="1500"/>
    <n v="1.5"/>
  </r>
  <r>
    <x v="27"/>
    <n v="151"/>
    <n v="18.73"/>
    <n v="28.094999999999999"/>
    <n v="1.5"/>
    <n v="17500"/>
    <n v="1015"/>
    <n v="1.5"/>
  </r>
  <r>
    <x v="28"/>
    <n v="16"/>
    <n v="8.3000000000000007"/>
    <n v="10"/>
    <n v="1.2050000000000001"/>
    <n v="18515"/>
    <n v="307"/>
    <n v="1.2048192771084336"/>
  </r>
  <r>
    <x v="29"/>
    <n v="19"/>
    <n v="8.3000000000000007"/>
    <n v="10"/>
    <n v="1.2050000000000001"/>
    <n v="18822"/>
    <n v="628"/>
    <n v="1.2048192771084336"/>
  </r>
  <r>
    <x v="30"/>
    <n v="58"/>
    <n v="9.7200000000000006"/>
    <n v="11.34"/>
    <n v="1.21"/>
    <n v="19450"/>
    <n v="324"/>
    <n v="1.1666666666666665"/>
  </r>
  <r>
    <x v="31"/>
    <n v="9"/>
    <n v="4.28"/>
    <n v="4.79"/>
    <n v="1.69"/>
    <n v="19774"/>
    <n v="161"/>
    <n v="1.1191588785046729"/>
  </r>
  <r>
    <x v="32"/>
    <n v="21"/>
    <n v="8.5500000000000007"/>
    <n v="10"/>
    <n v="1.1599999999999999"/>
    <n v="19935"/>
    <n v="336"/>
    <n v="1.1695906432748537"/>
  </r>
  <r>
    <x v="33"/>
    <n v="24"/>
    <n v="8.6999999999999993"/>
    <n v="10"/>
    <n v="1.1499999999999999"/>
    <n v="20271"/>
    <n v="340"/>
    <n v="1.149425287356322"/>
  </r>
  <r>
    <x v="34"/>
    <n v="10"/>
    <n v="4.72"/>
    <n v="5"/>
    <n v="1.06"/>
    <n v="20611"/>
    <n v="173"/>
    <n v="1.0593220338983051"/>
  </r>
  <r>
    <x v="35"/>
    <n v="25"/>
    <n v="9.27"/>
    <n v="10"/>
    <n v="1.08"/>
    <n v="20784"/>
    <n v="366"/>
    <n v="1.0787486515641855"/>
  </r>
  <r>
    <x v="36"/>
    <n v="14"/>
    <n v="4.55"/>
    <n v="5"/>
    <n v="1.1000000000000001"/>
    <n v="21150"/>
    <n v="155"/>
    <n v="1.098901098901099"/>
  </r>
  <r>
    <x v="37"/>
    <n v="31"/>
    <n v="8.94"/>
    <n v="10"/>
    <n v="1.1200000000000001"/>
    <n v="21305"/>
    <n v="330"/>
    <n v="1.1185682326621924"/>
  </r>
  <r>
    <x v="38"/>
    <n v="26"/>
    <n v="8.6300000000000008"/>
    <n v="10"/>
    <n v="1.1599999999999999"/>
    <n v="21635"/>
    <n v="329"/>
    <n v="1.1587485515643103"/>
  </r>
  <r>
    <x v="39"/>
    <n v="24"/>
    <n v="8.6300000000000008"/>
    <n v="10"/>
    <n v="1.1599999999999999"/>
    <n v="21964"/>
    <n v="364"/>
    <n v="1.1587485515643103"/>
  </r>
  <r>
    <x v="40"/>
    <n v="20"/>
    <n v="8.5500000000000007"/>
    <n v="10"/>
    <n v="1.17"/>
    <n v="22328"/>
    <n v="302"/>
    <n v="1.1695906432748537"/>
  </r>
  <r>
    <x v="41"/>
    <n v="11"/>
    <n v="4.88"/>
    <n v="5"/>
    <n v="1.17"/>
    <n v="22630"/>
    <n v="205.5"/>
    <n v="1.0245901639344261"/>
  </r>
  <r>
    <x v="42"/>
    <n v="17"/>
    <n v="4.3899999999999997"/>
    <n v="5"/>
    <n v="1.1399999999999999"/>
    <n v="22835.5"/>
    <n v="164.5"/>
    <n v="1.1389521640091116"/>
  </r>
  <r>
    <x v="43"/>
    <n v="13"/>
    <n v="4.13"/>
    <n v="5"/>
    <n v="1.17"/>
    <n v="23000"/>
    <n v="166"/>
    <n v="1.2106537530266344"/>
  </r>
  <r>
    <x v="44"/>
    <n v="24"/>
    <n v="8.94"/>
    <n v="10"/>
    <n v="1.1200000000000001"/>
    <n v="23166"/>
    <n v="373"/>
    <n v="1.1185682326621924"/>
  </r>
  <r>
    <x v="45"/>
    <n v="9"/>
    <n v="4"/>
    <n v="5"/>
    <n v="1.25"/>
    <n v="23539"/>
    <n v="157"/>
    <n v="1.25"/>
  </r>
  <r>
    <x v="46"/>
    <n v="23"/>
    <n v="9.18"/>
    <n v="10"/>
    <n v="1.0900000000000001"/>
    <n v="23696"/>
    <n v="343"/>
    <n v="1.0893246187363834"/>
  </r>
  <r>
    <x v="47"/>
    <n v="17"/>
    <n v="4.6399999999999997"/>
    <n v="5"/>
    <n v="1.07"/>
    <n v="24039"/>
    <n v="179.70000000000073"/>
    <n v="1.0775862068965518"/>
  </r>
  <r>
    <x v="48"/>
    <n v="65"/>
    <n v="9.2899999999999991"/>
    <n v="10"/>
    <n v="1.07"/>
    <n v="24218.7"/>
    <n v="354.73999999999796"/>
    <n v="1.0764262648008613"/>
  </r>
  <r>
    <x v="49"/>
    <n v="29"/>
    <n v="9.0299999999999994"/>
    <n v="10"/>
    <n v="1.1100000000000001"/>
    <n v="24573.439999999999"/>
    <n v="330.56000000000131"/>
    <n v="1.1074197120708749"/>
  </r>
  <r>
    <x v="50"/>
    <n v="24"/>
    <n v="9.1999999999999993"/>
    <n v="10"/>
    <n v="1.0900000000000001"/>
    <n v="24904"/>
    <n v="358"/>
    <n v="1.0869565217391306"/>
  </r>
  <r>
    <x v="51"/>
    <n v="18"/>
    <n v="8.8800000000000008"/>
    <n v="10"/>
    <n v="1.1299999999999999"/>
    <n v="25262"/>
    <n v="311"/>
    <n v="1.1261261261261259"/>
  </r>
  <r>
    <x v="52"/>
    <n v="21"/>
    <n v="4.3600000000000003"/>
    <n v="5"/>
    <n v="1.1399999999999999"/>
    <n v="25573"/>
    <n v="139.59999999999854"/>
    <n v="1.1467889908256881"/>
  </r>
  <r>
    <x v="53"/>
    <n v="17"/>
    <n v="4.32"/>
    <n v="5"/>
    <n v="1.1499999999999999"/>
    <n v="25712.6"/>
    <n v="165.40000000000146"/>
    <n v="1.1574074074074074"/>
  </r>
  <r>
    <x v="54"/>
    <n v="66"/>
    <n v="8.57"/>
    <n v="10"/>
    <n v="1.1599999999999999"/>
    <n v="25878"/>
    <n v="586"/>
    <n v="1.1668611435239207"/>
  </r>
  <r>
    <x v="55"/>
    <n v="32"/>
    <n v="8.64"/>
    <n v="10"/>
    <n v="1.1599999999999999"/>
    <n v="26464"/>
    <n v="291.59999999999854"/>
    <n v="1.1574074074074074"/>
  </r>
  <r>
    <x v="56"/>
    <n v="15"/>
    <n v="4.32"/>
    <n v="5"/>
    <n v="1.1599999999999999"/>
    <n v="26755.599999999999"/>
    <n v="161.10000000000218"/>
    <n v="1.1574074074074074"/>
  </r>
  <r>
    <x v="57"/>
    <n v="23"/>
    <n v="8.3699999999999992"/>
    <n v="10"/>
    <n v="1.19"/>
    <n v="26916.7"/>
    <n v="278.59999999999854"/>
    <n v="1.1947431302270013"/>
  </r>
  <r>
    <x v="58"/>
    <n v="11"/>
    <n v="4.05"/>
    <n v="5"/>
    <n v="1.23"/>
    <n v="27195.3"/>
    <n v="134.29999999999927"/>
    <n v="1.2345679012345681"/>
  </r>
  <r>
    <x v="59"/>
    <n v="17"/>
    <n v="4.0199999999999996"/>
    <n v="5"/>
    <n v="1.24"/>
    <n v="27329.599999999999"/>
    <n v="154.60000000000218"/>
    <n v="1.2437810945273633"/>
  </r>
  <r>
    <x v="60"/>
    <n v="10"/>
    <n v="4.0199999999999996"/>
    <n v="5"/>
    <n v="1.24"/>
    <n v="27484.2"/>
    <n v="165.79999999999927"/>
    <n v="1.2437810945273633"/>
  </r>
  <r>
    <x v="61"/>
    <n v="25"/>
    <n v="7.88"/>
    <n v="10"/>
    <n v="1.26"/>
    <n v="27650"/>
    <n v="272"/>
    <n v="1.2690355329949239"/>
  </r>
  <r>
    <x v="62"/>
    <n v="11"/>
    <n v="4.0199999999999996"/>
    <n v="5"/>
    <n v="1.24"/>
    <n v="27922"/>
    <n v="130"/>
    <n v="1.2437810945273633"/>
  </r>
  <r>
    <x v="63"/>
    <n v="41"/>
    <n v="8.0299999999999994"/>
    <n v="10"/>
    <n v="1.24"/>
    <n v="28052"/>
    <n v="296.70000000000073"/>
    <n v="1.2453300124533002"/>
  </r>
  <r>
    <x v="64"/>
    <n v="11"/>
    <n v="3.98"/>
    <n v="5"/>
    <n v="1.25"/>
    <n v="28348.7"/>
    <n v="126.79999999999927"/>
    <n v="1.256281407035176"/>
  </r>
  <r>
    <x v="65"/>
    <n v="10"/>
    <n v="3.98"/>
    <n v="5"/>
    <n v="1.25"/>
    <n v="28475.5"/>
    <n v="146.40000000000146"/>
    <n v="1.256281407035176"/>
  </r>
  <r>
    <x v="66"/>
    <n v="18"/>
    <n v="3.98"/>
    <n v="5"/>
    <n v="1.25"/>
    <n v="28621.9"/>
    <n v="138.09999999999854"/>
    <n v="1.256281407035176"/>
  </r>
  <r>
    <x v="67"/>
    <n v="14"/>
    <n v="3.95"/>
    <n v="5"/>
    <n v="1.26"/>
    <n v="28760"/>
    <n v="150"/>
    <n v="1.2658227848101264"/>
  </r>
  <r>
    <x v="68"/>
    <n v="10"/>
    <n v="3.95"/>
    <n v="5"/>
    <n v="1.26"/>
    <n v="28910"/>
    <n v="135.79999999999927"/>
    <n v="1.2658227848101264"/>
  </r>
  <r>
    <x v="69"/>
    <n v="9"/>
    <n v="3.95"/>
    <n v="5"/>
    <n v="1.26"/>
    <n v="29045.8"/>
    <n v="135.20000000000073"/>
    <n v="1.2658227848101264"/>
  </r>
  <r>
    <x v="70"/>
    <n v="23"/>
    <n v="7.97"/>
    <n v="10"/>
    <n v="1.25"/>
    <n v="29181"/>
    <n v="369"/>
    <n v="1.2547051442910917"/>
  </r>
  <r>
    <x v="71"/>
    <n v="45"/>
    <n v="9.0500000000000007"/>
    <n v="10"/>
    <n v="1.1000000000000001"/>
    <n v="29550"/>
    <n v="398"/>
    <n v="1.1049723756906076"/>
  </r>
  <r>
    <x v="72"/>
    <n v="28"/>
    <n v="9.0500000000000007"/>
    <n v="10"/>
    <n v="1.1000000000000001"/>
    <n v="29948"/>
    <n v="321"/>
    <n v="1.1049723756906076"/>
  </r>
  <r>
    <x v="73"/>
    <n v="25"/>
    <n v="8.89"/>
    <n v="10"/>
    <n v="1.1200000000000001"/>
    <n v="30269"/>
    <n v="314.29999999999927"/>
    <n v="1.124859392575928"/>
  </r>
  <r>
    <x v="74"/>
    <n v="30"/>
    <n v="8.58"/>
    <n v="10"/>
    <n v="1.1599999999999999"/>
    <n v="30583.3"/>
    <n v="334"/>
    <n v="1.1655011655011656"/>
  </r>
  <r>
    <x v="75"/>
    <n v="26"/>
    <n v="8.16"/>
    <n v="10"/>
    <n v="1.23"/>
    <n v="30917.3"/>
    <n v="280"/>
    <n v="1.2254901960784315"/>
  </r>
  <r>
    <x v="76"/>
    <n v="11"/>
    <n v="3.86"/>
    <n v="5"/>
    <n v="1.3"/>
    <n v="31197.3"/>
    <n v="152.10000000000218"/>
    <n v="1.2953367875647668"/>
  </r>
  <r>
    <x v="77"/>
    <s v=""/>
    <n v="7.84"/>
    <n v="10"/>
    <n v="1.27"/>
    <n v="31349.4"/>
    <s v=""/>
    <n v="1.2755102040816326"/>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s v=""/>
    <m/>
    <m/>
    <m/>
    <m/>
    <s v=""/>
    <s v=""/>
  </r>
  <r>
    <x v="78"/>
    <m/>
    <m/>
    <m/>
    <m/>
    <m/>
    <m/>
    <s v=""/>
  </r>
</pivotCacheRecords>
</file>

<file path=xl/pivotCache/pivotCacheRecords2.xml><?xml version="1.0" encoding="utf-8"?>
<pivotCacheRecords xmlns="http://schemas.openxmlformats.org/spreadsheetml/2006/main" xmlns:r="http://schemas.openxmlformats.org/officeDocument/2006/relationships" count="149">
  <r>
    <x v="0"/>
    <n v="7"/>
    <n v="3.79"/>
    <n v="5"/>
    <n v="1.31"/>
    <n v="9745.7999999999993"/>
    <n v="95"/>
  </r>
  <r>
    <x v="1"/>
    <n v="9"/>
    <n v="3.81"/>
    <n v="5"/>
    <n v="1.31"/>
    <n v="9840.7999999999993"/>
    <n v="141.5"/>
  </r>
  <r>
    <x v="2"/>
    <n v="20"/>
    <n v="10"/>
    <n v="13.37"/>
    <n v="1.337"/>
    <n v="9982.2999999999993"/>
    <n v="425.20000000000073"/>
  </r>
  <r>
    <x v="3"/>
    <n v="8"/>
    <n v="5"/>
    <n v="6.49"/>
    <n v="1.3580000000000001"/>
    <n v="10407.5"/>
    <n v="173.5"/>
  </r>
  <r>
    <x v="4"/>
    <n v="21"/>
    <n v="10"/>
    <n v="13.22"/>
    <n v="1.3220000000000001"/>
    <n v="10581"/>
    <n v="375.39999999999964"/>
  </r>
  <r>
    <x v="5"/>
    <n v="13"/>
    <n v="5"/>
    <n v="6.66"/>
    <n v="1.33"/>
    <n v="10956.4"/>
    <n v="197.70000000000073"/>
  </r>
  <r>
    <x v="6"/>
    <n v="12"/>
    <n v="3.78"/>
    <n v="5"/>
    <n v="1.32"/>
    <n v="11154.1"/>
    <n v="138.79999999999927"/>
  </r>
  <r>
    <x v="7"/>
    <n v="15"/>
    <n v="5"/>
    <n v="5"/>
    <n v="1.3"/>
    <n v="11292.9"/>
    <n v="201.10000000000036"/>
  </r>
  <r>
    <x v="8"/>
    <n v="15"/>
    <n v="5"/>
    <n v="6.47"/>
    <n v="1.29"/>
    <n v="11494"/>
    <n v="164.29999999999927"/>
  </r>
  <r>
    <x v="9"/>
    <n v="34"/>
    <n v="10"/>
    <n v="13.13"/>
    <n v="1.31"/>
    <n v="11658.3"/>
    <n v="361.70000000000073"/>
  </r>
  <r>
    <x v="10"/>
    <n v="12"/>
    <n v="5"/>
    <n v="7"/>
    <n v="1.4"/>
    <n v="12020"/>
    <n v="206.70000000000073"/>
  </r>
  <r>
    <x v="11"/>
    <n v="8"/>
    <n v="5"/>
    <n v="7.03"/>
    <n v="1.405"/>
    <n v="12226.7"/>
    <n v="148"/>
  </r>
  <r>
    <x v="12"/>
    <n v="11"/>
    <n v="5"/>
    <n v="7.03"/>
    <n v="1.405"/>
    <n v="12374.7"/>
    <n v="181.29999999999927"/>
  </r>
  <r>
    <x v="13"/>
    <n v="13"/>
    <n v="5"/>
    <n v="7.27"/>
    <n v="1.454"/>
    <n v="12556"/>
    <n v="218.39999999999964"/>
  </r>
  <r>
    <x v="14"/>
    <n v="42"/>
    <n v="10"/>
    <n v="14.29"/>
    <n v="1.4790000000000001"/>
    <n v="12774.4"/>
    <n v="370.80000000000109"/>
  </r>
  <r>
    <x v="15"/>
    <n v="32"/>
    <n v="10"/>
    <n v="15.15"/>
    <n v="1.5149999999999999"/>
    <n v="13145.2"/>
    <n v="309.19999999999891"/>
  </r>
  <r>
    <x v="16"/>
    <n v="15"/>
    <n v="5"/>
    <n v="7.12"/>
    <n v="1.423"/>
    <n v="13454.4"/>
    <n v="228.89999999999964"/>
  </r>
  <r>
    <x v="17"/>
    <n v="10"/>
    <n v="4"/>
    <n v="5.72"/>
    <n v="1.431"/>
    <n v="13683.3"/>
    <n v="156.40000000000146"/>
  </r>
  <r>
    <x v="18"/>
    <n v="24"/>
    <n v="8"/>
    <n v="11.16"/>
    <n v="1.39"/>
    <n v="13839.7"/>
    <n v="321.09999999999854"/>
  </r>
  <r>
    <x v="19"/>
    <n v="320"/>
    <n v="10"/>
    <n v="13.88"/>
    <n v="1.39"/>
    <n v="14160.8"/>
    <n v="754.70000000000073"/>
  </r>
  <r>
    <x v="20"/>
    <n v="9"/>
    <n v="5"/>
    <n v="7.18"/>
    <n v="1.44"/>
    <n v="14915.5"/>
    <n v="296.5"/>
  </r>
  <r>
    <x v="21"/>
    <n v="3"/>
    <n v="2.65"/>
    <n v="4"/>
    <n v="1.49"/>
    <n v="15212"/>
    <n v="48"/>
  </r>
  <r>
    <x v="22"/>
    <n v="5"/>
    <n v="3.34"/>
    <n v="5"/>
    <n v="1.5"/>
    <n v="15260"/>
    <n v="64.399999999999636"/>
  </r>
  <r>
    <x v="23"/>
    <n v="56"/>
    <n v="6.76"/>
    <n v="10"/>
    <n v="1.47"/>
    <n v="15324.4"/>
    <n v="222.80000000000109"/>
  </r>
  <r>
    <x v="24"/>
    <n v="61"/>
    <n v="3.32"/>
    <n v="5"/>
    <n v="1.5"/>
    <n v="15547.2"/>
    <n v="172.19999999999891"/>
  </r>
  <r>
    <x v="25"/>
    <n v="458"/>
    <n v="5"/>
    <n v="7.2"/>
    <n v="1.5"/>
    <n v="15719.4"/>
    <n v="280.60000000000036"/>
  </r>
  <r>
    <x v="26"/>
    <n v="365"/>
    <n v="18.73"/>
    <n v="28.094999999999999"/>
    <n v="1.5"/>
    <n v="16000"/>
    <n v="1500"/>
  </r>
  <r>
    <x v="27"/>
    <n v="151"/>
    <n v="18.73"/>
    <n v="28.094999999999999"/>
    <n v="1.5"/>
    <n v="17500"/>
    <n v="1015"/>
  </r>
  <r>
    <x v="28"/>
    <n v="16"/>
    <n v="8.3000000000000007"/>
    <n v="10"/>
    <n v="1.2050000000000001"/>
    <n v="18515"/>
    <n v="307"/>
  </r>
  <r>
    <x v="29"/>
    <n v="19"/>
    <n v="8.3000000000000007"/>
    <n v="10"/>
    <n v="1.2050000000000001"/>
    <n v="18822"/>
    <n v="628"/>
  </r>
  <r>
    <x v="30"/>
    <n v="58"/>
    <n v="9.7200000000000006"/>
    <n v="11.34"/>
    <n v="1.21"/>
    <n v="19450"/>
    <n v="324"/>
  </r>
  <r>
    <x v="31"/>
    <n v="9"/>
    <n v="4.28"/>
    <n v="4.79"/>
    <n v="1.69"/>
    <n v="19774"/>
    <n v="161"/>
  </r>
  <r>
    <x v="32"/>
    <n v="21"/>
    <n v="8.5500000000000007"/>
    <n v="10"/>
    <n v="1.1599999999999999"/>
    <n v="19935"/>
    <n v="336"/>
  </r>
  <r>
    <x v="33"/>
    <n v="24"/>
    <n v="8.6999999999999993"/>
    <n v="10"/>
    <n v="1.1499999999999999"/>
    <n v="20271"/>
    <n v="340"/>
  </r>
  <r>
    <x v="34"/>
    <n v="10"/>
    <n v="4.72"/>
    <n v="5"/>
    <n v="1.06"/>
    <n v="20611"/>
    <n v="173"/>
  </r>
  <r>
    <x v="35"/>
    <n v="25"/>
    <n v="9.27"/>
    <n v="10"/>
    <n v="1.08"/>
    <n v="20784"/>
    <n v="366"/>
  </r>
  <r>
    <x v="36"/>
    <n v="14"/>
    <n v="4.55"/>
    <n v="5"/>
    <n v="1.1000000000000001"/>
    <n v="21150"/>
    <n v="155"/>
  </r>
  <r>
    <x v="37"/>
    <n v="31"/>
    <n v="8.94"/>
    <n v="10"/>
    <n v="1.1200000000000001"/>
    <n v="21305"/>
    <n v="330"/>
  </r>
  <r>
    <x v="38"/>
    <n v="26"/>
    <n v="8.6300000000000008"/>
    <n v="10"/>
    <n v="1.1599999999999999"/>
    <n v="21635"/>
    <n v="329"/>
  </r>
  <r>
    <x v="39"/>
    <n v="24"/>
    <n v="8.6300000000000008"/>
    <n v="10"/>
    <n v="1.1599999999999999"/>
    <n v="21964"/>
    <n v="364"/>
  </r>
  <r>
    <x v="40"/>
    <n v="20"/>
    <n v="8.5500000000000007"/>
    <n v="10"/>
    <n v="1.17"/>
    <n v="22328"/>
    <n v="302"/>
  </r>
  <r>
    <x v="41"/>
    <n v="11"/>
    <n v="4.88"/>
    <n v="5"/>
    <n v="1.17"/>
    <n v="22630"/>
    <n v="205.5"/>
  </r>
  <r>
    <x v="42"/>
    <n v="17"/>
    <n v="4.3899999999999997"/>
    <n v="5"/>
    <n v="1.1399999999999999"/>
    <n v="22835.5"/>
    <n v="164.5"/>
  </r>
  <r>
    <x v="43"/>
    <n v="13"/>
    <n v="4.13"/>
    <n v="5"/>
    <n v="1.17"/>
    <n v="23000"/>
    <n v="166"/>
  </r>
  <r>
    <x v="44"/>
    <n v="24"/>
    <n v="8.94"/>
    <n v="10"/>
    <n v="1.1200000000000001"/>
    <n v="23166"/>
    <n v="373"/>
  </r>
  <r>
    <x v="45"/>
    <n v="9"/>
    <n v="4"/>
    <n v="5"/>
    <n v="1.25"/>
    <n v="23539"/>
    <n v="157"/>
  </r>
  <r>
    <x v="46"/>
    <n v="23"/>
    <n v="9.18"/>
    <n v="10"/>
    <n v="1.0900000000000001"/>
    <n v="23696"/>
    <n v="343"/>
  </r>
  <r>
    <x v="47"/>
    <n v="17"/>
    <n v="4.6399999999999997"/>
    <n v="5"/>
    <n v="1.07"/>
    <n v="24039"/>
    <n v="179.70000000000073"/>
  </r>
  <r>
    <x v="48"/>
    <n v="65"/>
    <n v="9.2899999999999991"/>
    <n v="10"/>
    <n v="1.07"/>
    <n v="24218.7"/>
    <n v="354.73999999999796"/>
  </r>
  <r>
    <x v="49"/>
    <n v="29"/>
    <n v="9.0299999999999994"/>
    <n v="10"/>
    <n v="1.1100000000000001"/>
    <n v="24573.439999999999"/>
    <n v="330.56000000000131"/>
  </r>
  <r>
    <x v="50"/>
    <n v="24"/>
    <n v="9.1999999999999993"/>
    <n v="10"/>
    <n v="1.0900000000000001"/>
    <n v="24904"/>
    <n v="358"/>
  </r>
  <r>
    <x v="51"/>
    <n v="18"/>
    <n v="8.8800000000000008"/>
    <n v="10"/>
    <n v="1.1299999999999999"/>
    <n v="25262"/>
    <n v="311"/>
  </r>
  <r>
    <x v="52"/>
    <n v="21"/>
    <n v="4.3600000000000003"/>
    <n v="5"/>
    <n v="1.1399999999999999"/>
    <n v="25573"/>
    <n v="139.59999999999854"/>
  </r>
  <r>
    <x v="53"/>
    <n v="17"/>
    <n v="4.32"/>
    <n v="5"/>
    <n v="1.1499999999999999"/>
    <n v="25712.6"/>
    <n v="165.40000000000146"/>
  </r>
  <r>
    <x v="54"/>
    <n v="66"/>
    <n v="8.57"/>
    <n v="10"/>
    <n v="1.1599999999999999"/>
    <n v="25878"/>
    <n v="586"/>
  </r>
  <r>
    <x v="55"/>
    <n v="32"/>
    <n v="8.64"/>
    <n v="10"/>
    <n v="1.1599999999999999"/>
    <n v="26464"/>
    <n v="291.59999999999854"/>
  </r>
  <r>
    <x v="56"/>
    <n v="15"/>
    <n v="4.32"/>
    <n v="5"/>
    <n v="1.1599999999999999"/>
    <n v="26755.599999999999"/>
    <n v="161.10000000000218"/>
  </r>
  <r>
    <x v="57"/>
    <n v="23"/>
    <n v="8.3699999999999992"/>
    <n v="10"/>
    <n v="1.19"/>
    <n v="26916.7"/>
    <n v="278.59999999999854"/>
  </r>
  <r>
    <x v="58"/>
    <n v="11"/>
    <n v="4.05"/>
    <n v="5"/>
    <n v="1.23"/>
    <n v="27195.3"/>
    <n v="134.29999999999927"/>
  </r>
  <r>
    <x v="59"/>
    <n v="17"/>
    <n v="4.0199999999999996"/>
    <n v="5"/>
    <n v="1.24"/>
    <n v="27329.599999999999"/>
    <n v="154.60000000000218"/>
  </r>
  <r>
    <x v="60"/>
    <n v="10"/>
    <n v="4.0199999999999996"/>
    <n v="5"/>
    <n v="1.24"/>
    <n v="27484.2"/>
    <n v="165.79999999999927"/>
  </r>
  <r>
    <x v="61"/>
    <n v="25"/>
    <n v="7.88"/>
    <n v="10"/>
    <n v="1.26"/>
    <n v="27650"/>
    <n v="272"/>
  </r>
  <r>
    <x v="62"/>
    <n v="11"/>
    <n v="4.0199999999999996"/>
    <n v="5"/>
    <n v="1.24"/>
    <n v="27922"/>
    <n v="130"/>
  </r>
  <r>
    <x v="63"/>
    <n v="41"/>
    <n v="8.0299999999999994"/>
    <n v="10"/>
    <n v="1.24"/>
    <n v="28052"/>
    <n v="296.70000000000073"/>
  </r>
  <r>
    <x v="64"/>
    <n v="11"/>
    <n v="3.98"/>
    <n v="5"/>
    <n v="1.25"/>
    <n v="28348.7"/>
    <n v="126.79999999999927"/>
  </r>
  <r>
    <x v="65"/>
    <n v="10"/>
    <n v="3.98"/>
    <n v="5"/>
    <n v="1.25"/>
    <n v="28475.5"/>
    <n v="146.40000000000146"/>
  </r>
  <r>
    <x v="66"/>
    <n v="18"/>
    <n v="3.98"/>
    <n v="5"/>
    <n v="1.25"/>
    <n v="28621.9"/>
    <n v="138.09999999999854"/>
  </r>
  <r>
    <x v="67"/>
    <n v="14"/>
    <n v="3.95"/>
    <n v="5"/>
    <n v="1.26"/>
    <n v="28760"/>
    <n v="150"/>
  </r>
  <r>
    <x v="68"/>
    <n v="10"/>
    <n v="3.95"/>
    <n v="5"/>
    <n v="1.26"/>
    <n v="28910"/>
    <n v="135.79999999999927"/>
  </r>
  <r>
    <x v="69"/>
    <n v="9"/>
    <n v="3.95"/>
    <n v="5"/>
    <n v="1.26"/>
    <n v="29045.8"/>
    <n v="135.20000000000073"/>
  </r>
  <r>
    <x v="70"/>
    <n v="23"/>
    <n v="7.97"/>
    <n v="10"/>
    <n v="1.25"/>
    <n v="29181"/>
    <n v="369"/>
  </r>
  <r>
    <x v="71"/>
    <n v="45"/>
    <n v="9.0500000000000007"/>
    <n v="10"/>
    <n v="1.1000000000000001"/>
    <n v="29550"/>
    <n v="398"/>
  </r>
  <r>
    <x v="72"/>
    <n v="28"/>
    <n v="9.0500000000000007"/>
    <n v="10"/>
    <n v="1.1000000000000001"/>
    <n v="29948"/>
    <n v="321"/>
  </r>
  <r>
    <x v="73"/>
    <n v="25"/>
    <n v="8.89"/>
    <n v="10"/>
    <n v="1.1200000000000001"/>
    <n v="30269"/>
    <n v="314.29999999999927"/>
  </r>
  <r>
    <x v="74"/>
    <n v="30"/>
    <n v="8.58"/>
    <n v="10"/>
    <n v="1.1599999999999999"/>
    <n v="30583.3"/>
    <n v="334"/>
  </r>
  <r>
    <x v="75"/>
    <n v="26"/>
    <n v="8.16"/>
    <n v="10"/>
    <n v="1.23"/>
    <n v="30917.3"/>
    <n v="280"/>
  </r>
  <r>
    <x v="76"/>
    <n v="11"/>
    <n v="3.86"/>
    <n v="5"/>
    <n v="1.3"/>
    <n v="31197.3"/>
    <n v="152.10000000000218"/>
  </r>
  <r>
    <x v="77"/>
    <s v=""/>
    <n v="7.84"/>
    <n v="10"/>
    <n v="1.27"/>
    <n v="31349.4"/>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s v=""/>
    <m/>
    <m/>
    <m/>
    <m/>
    <s v=""/>
  </r>
  <r>
    <x v="78"/>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0" rowHeaderCaption="Fecha">
  <location ref="A1:C11" firstHeaderRow="0" firstDataRow="1" firstDataCol="1"/>
  <pivotFields count="9">
    <pivotField axis="axisRow" showAll="0">
      <items count="15">
        <item h="1" sd="0" x="0"/>
        <item sd="0" x="1"/>
        <item sd="0" x="2"/>
        <item sd="0" x="3"/>
        <item sd="0" x="4"/>
        <item sd="0" x="5"/>
        <item sd="0" x="6"/>
        <item sd="0" x="7"/>
        <item sd="0" x="8"/>
        <item sd="0" x="9"/>
        <item sd="0" x="10"/>
        <item sd="0" x="11"/>
        <item sd="0" x="12"/>
        <item h="1" sd="0" x="13"/>
        <item t="default" sd="0"/>
      </items>
    </pivotField>
    <pivotField showAll="0"/>
    <pivotField dataField="1" showAll="0"/>
    <pivotField dataField="1" showAll="0"/>
    <pivotField showAll="0"/>
    <pivotField showAll="0"/>
    <pivotField showAll="0"/>
    <pivotField showAll="0" defaultSubtotal="0">
      <items count="6">
        <item sd="0" x="0"/>
        <item sd="0" x="1"/>
        <item sd="0" x="2"/>
        <item sd="0" x="3"/>
        <item sd="0" x="4"/>
        <item x="5"/>
      </items>
    </pivotField>
    <pivotField axis="axisRow" showAll="0" defaultSubtotal="0">
      <items count="11">
        <item h="1" sd="0" x="0"/>
        <item sd="0" x="1"/>
        <item sd="0" x="2"/>
        <item sd="0" x="3"/>
        <item sd="0" x="4"/>
        <item sd="0" x="5"/>
        <item sd="0" x="6"/>
        <item sd="0" x="7"/>
        <item sd="0" x="8"/>
        <item sd="0" x="9"/>
        <item x="10"/>
      </items>
    </pivotField>
  </pivotFields>
  <rowFields count="2">
    <field x="8"/>
    <field x="0"/>
  </rowFields>
  <rowItems count="10">
    <i>
      <x v="1"/>
    </i>
    <i>
      <x v="2"/>
    </i>
    <i>
      <x v="3"/>
    </i>
    <i>
      <x v="4"/>
    </i>
    <i>
      <x v="5"/>
    </i>
    <i>
      <x v="6"/>
    </i>
    <i>
      <x v="7"/>
    </i>
    <i>
      <x v="8"/>
    </i>
    <i>
      <x v="9"/>
    </i>
    <i t="grand">
      <x/>
    </i>
  </rowItems>
  <colFields count="1">
    <field x="-2"/>
  </colFields>
  <colItems count="2">
    <i>
      <x/>
    </i>
    <i i="1">
      <x v="1"/>
    </i>
  </colItems>
  <dataFields count="2">
    <dataField name="Total Litros" fld="2" baseField="8" baseItem="0"/>
    <dataField name="Total Dinero" fld="3" baseField="8" baseItem="0"/>
  </dataFields>
  <formats count="12">
    <format dxfId="214">
      <pivotArea type="all" dataOnly="0" outline="0" fieldPosition="0"/>
    </format>
    <format dxfId="213">
      <pivotArea outline="0" collapsedLevelsAreSubtotals="1" fieldPosition="0"/>
    </format>
    <format dxfId="212">
      <pivotArea field="8" type="button" dataOnly="0" labelOnly="1" outline="0" axis="axisRow" fieldPosition="0"/>
    </format>
    <format dxfId="211">
      <pivotArea dataOnly="0" labelOnly="1" fieldPosition="0">
        <references count="1">
          <reference field="8" count="0"/>
        </references>
      </pivotArea>
    </format>
    <format dxfId="210">
      <pivotArea dataOnly="0" labelOnly="1" grandRow="1" outline="0" fieldPosition="0"/>
    </format>
    <format dxfId="209">
      <pivotArea dataOnly="0" labelOnly="1" outline="0" fieldPosition="0">
        <references count="1">
          <reference field="4294967294" count="2">
            <x v="0"/>
            <x v="1"/>
          </reference>
        </references>
      </pivotArea>
    </format>
    <format dxfId="40">
      <pivotArea type="all" dataOnly="0" outline="0" fieldPosition="0"/>
    </format>
    <format dxfId="39">
      <pivotArea outline="0" collapsedLevelsAreSubtotals="1" fieldPosition="0"/>
    </format>
    <format dxfId="38">
      <pivotArea field="8" type="button" dataOnly="0" labelOnly="1" outline="0" axis="axisRow" fieldPosition="0"/>
    </format>
    <format dxfId="37">
      <pivotArea dataOnly="0" labelOnly="1" fieldPosition="0">
        <references count="1">
          <reference field="8" count="9">
            <x v="1"/>
            <x v="2"/>
            <x v="3"/>
            <x v="4"/>
            <x v="5"/>
            <x v="6"/>
            <x v="7"/>
            <x v="8"/>
            <x v="9"/>
          </reference>
        </references>
      </pivotArea>
    </format>
    <format dxfId="36">
      <pivotArea dataOnly="0" labelOnly="1" grandRow="1" outline="0" fieldPosition="0"/>
    </format>
    <format dxfId="35">
      <pivotArea dataOnly="0" labelOnly="1" outline="0" fieldPosition="0">
        <references count="1">
          <reference field="4294967294" count="2">
            <x v="0"/>
            <x v="1"/>
          </reference>
        </references>
      </pivotArea>
    </format>
  </format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17" format="3" series="1">
      <pivotArea type="data" outline="0" fieldPosition="0">
        <references count="1">
          <reference field="4294967294" count="1" selected="0">
            <x v="0"/>
          </reference>
        </references>
      </pivotArea>
    </chartFormat>
    <chartFormat chart="17" format="4" series="1">
      <pivotArea type="data" outline="0" fieldPosition="0">
        <references count="1">
          <reference field="4294967294" count="1" selected="0">
            <x v="1"/>
          </reference>
        </references>
      </pivotArea>
    </chartFormat>
    <chartFormat chart="29" format="62" series="1">
      <pivotArea type="data" outline="0" fieldPosition="0">
        <references count="1">
          <reference field="4294967294" count="1" selected="0">
            <x v="0"/>
          </reference>
        </references>
      </pivotArea>
    </chartFormat>
    <chartFormat chart="29" format="63" series="1">
      <pivotArea type="data" outline="0" fieldPosition="0">
        <references count="1">
          <reference field="4294967294" count="1" selected="0">
            <x v="1"/>
          </reference>
        </references>
      </pivotArea>
    </chartFormat>
    <chartFormat chart="29" format="64">
      <pivotArea type="data" outline="0" fieldPosition="0">
        <references count="2">
          <reference field="4294967294" count="1" selected="0">
            <x v="0"/>
          </reference>
          <reference field="8" count="1" selected="0">
            <x v="1"/>
          </reference>
        </references>
      </pivotArea>
    </chartFormat>
    <chartFormat chart="29" format="65">
      <pivotArea type="data" outline="0" fieldPosition="0">
        <references count="2">
          <reference field="4294967294" count="1" selected="0">
            <x v="0"/>
          </reference>
          <reference field="8" count="1" selected="0">
            <x v="2"/>
          </reference>
        </references>
      </pivotArea>
    </chartFormat>
    <chartFormat chart="29" format="66">
      <pivotArea type="data" outline="0" fieldPosition="0">
        <references count="2">
          <reference field="4294967294" count="1" selected="0">
            <x v="0"/>
          </reference>
          <reference field="8" count="1" selected="0">
            <x v="3"/>
          </reference>
        </references>
      </pivotArea>
    </chartFormat>
    <chartFormat chart="29" format="67">
      <pivotArea type="data" outline="0" fieldPosition="0">
        <references count="2">
          <reference field="4294967294" count="1" selected="0">
            <x v="0"/>
          </reference>
          <reference field="8" count="1" selected="0">
            <x v="4"/>
          </reference>
        </references>
      </pivotArea>
    </chartFormat>
    <chartFormat chart="29" format="68">
      <pivotArea type="data" outline="0" fieldPosition="0">
        <references count="2">
          <reference field="4294967294" count="1" selected="0">
            <x v="0"/>
          </reference>
          <reference field="8" count="1" selected="0">
            <x v="5"/>
          </reference>
        </references>
      </pivotArea>
    </chartFormat>
    <chartFormat chart="29" format="69">
      <pivotArea type="data" outline="0" fieldPosition="0">
        <references count="2">
          <reference field="4294967294" count="1" selected="0">
            <x v="0"/>
          </reference>
          <reference field="8" count="1" selected="0">
            <x v="6"/>
          </reference>
        </references>
      </pivotArea>
    </chartFormat>
    <chartFormat chart="29" format="70">
      <pivotArea type="data" outline="0" fieldPosition="0">
        <references count="2">
          <reference field="4294967294" count="1" selected="0">
            <x v="0"/>
          </reference>
          <reference field="8" count="1" selected="0">
            <x v="7"/>
          </reference>
        </references>
      </pivotArea>
    </chartFormat>
    <chartFormat chart="29" format="71">
      <pivotArea type="data" outline="0" fieldPosition="0">
        <references count="2">
          <reference field="4294967294" count="1" selected="0">
            <x v="0"/>
          </reference>
          <reference field="8" count="1" selected="0">
            <x v="8"/>
          </reference>
        </references>
      </pivotArea>
    </chartFormat>
    <chartFormat chart="29" format="72">
      <pivotArea type="data" outline="0" fieldPosition="0">
        <references count="2">
          <reference field="4294967294" count="1" selected="0">
            <x v="0"/>
          </reference>
          <reference field="8" count="1" selected="0">
            <x v="9"/>
          </reference>
        </references>
      </pivotArea>
    </chartFormat>
    <chartFormat chart="29" format="73">
      <pivotArea type="data" outline="0" fieldPosition="0">
        <references count="2">
          <reference field="4294967294" count="1" selected="0">
            <x v="1"/>
          </reference>
          <reference field="8" count="1" selected="0">
            <x v="1"/>
          </reference>
        </references>
      </pivotArea>
    </chartFormat>
    <chartFormat chart="29" format="74">
      <pivotArea type="data" outline="0" fieldPosition="0">
        <references count="2">
          <reference field="4294967294" count="1" selected="0">
            <x v="1"/>
          </reference>
          <reference field="8" count="1" selected="0">
            <x v="2"/>
          </reference>
        </references>
      </pivotArea>
    </chartFormat>
    <chartFormat chart="29" format="75">
      <pivotArea type="data" outline="0" fieldPosition="0">
        <references count="2">
          <reference field="4294967294" count="1" selected="0">
            <x v="1"/>
          </reference>
          <reference field="8" count="1" selected="0">
            <x v="3"/>
          </reference>
        </references>
      </pivotArea>
    </chartFormat>
    <chartFormat chart="29" format="76">
      <pivotArea type="data" outline="0" fieldPosition="0">
        <references count="2">
          <reference field="4294967294" count="1" selected="0">
            <x v="1"/>
          </reference>
          <reference field="8" count="1" selected="0">
            <x v="4"/>
          </reference>
        </references>
      </pivotArea>
    </chartFormat>
    <chartFormat chart="29" format="77">
      <pivotArea type="data" outline="0" fieldPosition="0">
        <references count="2">
          <reference field="4294967294" count="1" selected="0">
            <x v="1"/>
          </reference>
          <reference field="8" count="1" selected="0">
            <x v="5"/>
          </reference>
        </references>
      </pivotArea>
    </chartFormat>
    <chartFormat chart="29" format="78">
      <pivotArea type="data" outline="0" fieldPosition="0">
        <references count="2">
          <reference field="4294967294" count="1" selected="0">
            <x v="1"/>
          </reference>
          <reference field="8" count="1" selected="0">
            <x v="6"/>
          </reference>
        </references>
      </pivotArea>
    </chartFormat>
    <chartFormat chart="29" format="79">
      <pivotArea type="data" outline="0" fieldPosition="0">
        <references count="2">
          <reference field="4294967294" count="1" selected="0">
            <x v="1"/>
          </reference>
          <reference field="8" count="1" selected="0">
            <x v="7"/>
          </reference>
        </references>
      </pivotArea>
    </chartFormat>
    <chartFormat chart="29" format="80">
      <pivotArea type="data" outline="0" fieldPosition="0">
        <references count="2">
          <reference field="4294967294" count="1" selected="0">
            <x v="1"/>
          </reference>
          <reference field="8" count="1" selected="0">
            <x v="8"/>
          </reference>
        </references>
      </pivotArea>
    </chartFormat>
    <chartFormat chart="29" format="81">
      <pivotArea type="data" outline="0" fieldPosition="0">
        <references count="2">
          <reference field="4294967294" count="1" selected="0">
            <x v="1"/>
          </reference>
          <reference field="8" count="1" selected="0">
            <x v="9"/>
          </reference>
        </references>
      </pivotArea>
    </chartFormat>
  </chartFormats>
  <pivotTableStyleInfo name="PivotStyleMedium2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6"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rowHeaderCaption="Año">
  <location ref="A1:C64" firstHeaderRow="0" firstDataRow="1" firstDataCol="1"/>
  <pivotFields count="10">
    <pivotField axis="axisRow" numFmtId="14" showAll="0">
      <items count="15">
        <item x="0"/>
        <item x="1"/>
        <item x="2"/>
        <item x="3"/>
        <item x="4"/>
        <item x="5"/>
        <item x="6"/>
        <item x="7"/>
        <item x="8"/>
        <item x="9"/>
        <item x="10"/>
        <item x="11"/>
        <item x="12"/>
        <item h="1" x="13"/>
        <item t="default"/>
      </items>
    </pivotField>
    <pivotField showAll="0"/>
    <pivotField numFmtId="2" showAll="0"/>
    <pivotField numFmtId="2" showAll="0"/>
    <pivotField dataField="1" numFmtId="2" showAll="0"/>
    <pivotField numFmtId="166" showAll="0"/>
    <pivotField showAll="0"/>
    <pivotField dataField="1" numFmtId="165" showAll="0"/>
    <pivotField showAll="0" defaultSubtotal="0">
      <items count="6">
        <item sd="0" x="0"/>
        <item sd="0" x="1"/>
        <item sd="0" x="2"/>
        <item sd="0" x="3"/>
        <item sd="0" x="4"/>
        <item x="5"/>
      </items>
    </pivotField>
    <pivotField axis="axisRow" showAll="0" defaultSubtotal="0">
      <items count="11">
        <item h="1" sd="0" x="0"/>
        <item x="1"/>
        <item x="2"/>
        <item x="3"/>
        <item x="4"/>
        <item x="5"/>
        <item x="6"/>
        <item x="7"/>
        <item x="8"/>
        <item x="9"/>
        <item h="1" x="10"/>
      </items>
    </pivotField>
  </pivotFields>
  <rowFields count="2">
    <field x="9"/>
    <field x="0"/>
  </rowFields>
  <rowItems count="63">
    <i>
      <x v="1"/>
    </i>
    <i r="1">
      <x v="8"/>
    </i>
    <i r="1">
      <x v="9"/>
    </i>
    <i r="1">
      <x v="10"/>
    </i>
    <i r="1">
      <x v="11"/>
    </i>
    <i r="1">
      <x v="12"/>
    </i>
    <i>
      <x v="2"/>
    </i>
    <i r="1">
      <x v="1"/>
    </i>
    <i r="1">
      <x v="2"/>
    </i>
    <i r="1">
      <x v="3"/>
    </i>
    <i r="1">
      <x v="4"/>
    </i>
    <i r="1">
      <x v="5"/>
    </i>
    <i r="1">
      <x v="6"/>
    </i>
    <i r="1">
      <x v="7"/>
    </i>
    <i>
      <x v="3"/>
    </i>
    <i r="1">
      <x v="5"/>
    </i>
    <i r="1">
      <x v="6"/>
    </i>
    <i r="1">
      <x v="7"/>
    </i>
    <i r="1">
      <x v="9"/>
    </i>
    <i>
      <x v="4"/>
    </i>
    <i r="1">
      <x v="12"/>
    </i>
    <i>
      <x v="5"/>
    </i>
    <i r="1">
      <x v="12"/>
    </i>
    <i>
      <x v="6"/>
    </i>
    <i r="1">
      <x v="5"/>
    </i>
    <i r="1">
      <x v="6"/>
    </i>
    <i r="1">
      <x v="7"/>
    </i>
    <i r="1">
      <x v="8"/>
    </i>
    <i r="1">
      <x v="9"/>
    </i>
    <i r="1">
      <x v="10"/>
    </i>
    <i r="1">
      <x v="11"/>
    </i>
    <i r="1">
      <x v="12"/>
    </i>
    <i>
      <x v="7"/>
    </i>
    <i r="1">
      <x v="1"/>
    </i>
    <i r="1">
      <x v="2"/>
    </i>
    <i r="1">
      <x v="3"/>
    </i>
    <i r="1">
      <x v="4"/>
    </i>
    <i r="1">
      <x v="5"/>
    </i>
    <i r="1">
      <x v="6"/>
    </i>
    <i r="1">
      <x v="7"/>
    </i>
    <i r="1">
      <x v="9"/>
    </i>
    <i r="1">
      <x v="10"/>
    </i>
    <i r="1">
      <x v="11"/>
    </i>
    <i r="1">
      <x v="12"/>
    </i>
    <i>
      <x v="8"/>
    </i>
    <i r="1">
      <x v="1"/>
    </i>
    <i r="1">
      <x v="3"/>
    </i>
    <i r="1">
      <x v="4"/>
    </i>
    <i r="1">
      <x v="5"/>
    </i>
    <i r="1">
      <x v="6"/>
    </i>
    <i r="1">
      <x v="7"/>
    </i>
    <i r="1">
      <x v="8"/>
    </i>
    <i r="1">
      <x v="9"/>
    </i>
    <i r="1">
      <x v="10"/>
    </i>
    <i r="1">
      <x v="11"/>
    </i>
    <i r="1">
      <x v="12"/>
    </i>
    <i>
      <x v="9"/>
    </i>
    <i r="1">
      <x v="1"/>
    </i>
    <i r="1">
      <x v="2"/>
    </i>
    <i r="1">
      <x v="3"/>
    </i>
    <i r="1">
      <x v="4"/>
    </i>
    <i r="1">
      <x v="5"/>
    </i>
    <i t="grand">
      <x/>
    </i>
  </rowItems>
  <colFields count="1">
    <field x="-2"/>
  </colFields>
  <colItems count="2">
    <i>
      <x/>
    </i>
    <i i="1">
      <x v="1"/>
    </i>
  </colItems>
  <dataFields count="2">
    <dataField name="Precio €/LITRO" fld="4" subtotal="average" baseField="9" baseItem="9"/>
    <dataField name="Average of Calculo €/L" fld="7" subtotal="average" baseField="9" baseItem="9"/>
  </dataFields>
  <formats count="43">
    <format dxfId="242">
      <pivotArea collapsedLevelsAreSubtotals="1" fieldPosition="0">
        <references count="3">
          <reference field="4294967294" count="1" selected="0">
            <x v="0"/>
          </reference>
          <reference field="0" count="5">
            <x v="8"/>
            <x v="9"/>
            <x v="10"/>
            <x v="11"/>
            <x v="12"/>
          </reference>
          <reference field="9" count="1" selected="0">
            <x v="1"/>
          </reference>
        </references>
      </pivotArea>
    </format>
    <format dxfId="241">
      <pivotArea collapsedLevelsAreSubtotals="1" fieldPosition="0">
        <references count="2">
          <reference field="4294967294" count="1" selected="0">
            <x v="0"/>
          </reference>
          <reference field="9" count="1">
            <x v="2"/>
          </reference>
        </references>
      </pivotArea>
    </format>
    <format dxfId="240">
      <pivotArea collapsedLevelsAreSubtotals="1" fieldPosition="0">
        <references count="3">
          <reference field="4294967294" count="1" selected="0">
            <x v="0"/>
          </reference>
          <reference field="0" count="7">
            <x v="1"/>
            <x v="2"/>
            <x v="3"/>
            <x v="4"/>
            <x v="5"/>
            <x v="6"/>
            <x v="7"/>
          </reference>
          <reference field="9" count="1" selected="0">
            <x v="2"/>
          </reference>
        </references>
      </pivotArea>
    </format>
    <format dxfId="239">
      <pivotArea collapsedLevelsAreSubtotals="1" fieldPosition="0">
        <references count="2">
          <reference field="4294967294" count="1" selected="0">
            <x v="0"/>
          </reference>
          <reference field="9" count="1">
            <x v="3"/>
          </reference>
        </references>
      </pivotArea>
    </format>
    <format dxfId="238">
      <pivotArea collapsedLevelsAreSubtotals="1" fieldPosition="0">
        <references count="3">
          <reference field="4294967294" count="1" selected="0">
            <x v="0"/>
          </reference>
          <reference field="0" count="5">
            <x v="5"/>
            <x v="6"/>
            <x v="7"/>
            <x v="9"/>
            <x v="10"/>
          </reference>
          <reference field="9" count="1" selected="0">
            <x v="3"/>
          </reference>
        </references>
      </pivotArea>
    </format>
    <format dxfId="237">
      <pivotArea collapsedLevelsAreSubtotals="1" fieldPosition="0">
        <references count="2">
          <reference field="4294967294" count="1" selected="0">
            <x v="0"/>
          </reference>
          <reference field="9" count="1">
            <x v="6"/>
          </reference>
        </references>
      </pivotArea>
    </format>
    <format dxfId="236">
      <pivotArea collapsedLevelsAreSubtotals="1" fieldPosition="0">
        <references count="3">
          <reference field="4294967294" count="1" selected="0">
            <x v="0"/>
          </reference>
          <reference field="0" count="8">
            <x v="5"/>
            <x v="6"/>
            <x v="7"/>
            <x v="8"/>
            <x v="9"/>
            <x v="10"/>
            <x v="11"/>
            <x v="12"/>
          </reference>
          <reference field="9" count="1" selected="0">
            <x v="6"/>
          </reference>
        </references>
      </pivotArea>
    </format>
    <format dxfId="235">
      <pivotArea collapsedLevelsAreSubtotals="1" fieldPosition="0">
        <references count="2">
          <reference field="4294967294" count="1" selected="0">
            <x v="0"/>
          </reference>
          <reference field="9" count="1">
            <x v="7"/>
          </reference>
        </references>
      </pivotArea>
    </format>
    <format dxfId="234">
      <pivotArea collapsedLevelsAreSubtotals="1" fieldPosition="0">
        <references count="3">
          <reference field="4294967294" count="1" selected="0">
            <x v="0"/>
          </reference>
          <reference field="0" count="11">
            <x v="1"/>
            <x v="2"/>
            <x v="3"/>
            <x v="4"/>
            <x v="5"/>
            <x v="6"/>
            <x v="7"/>
            <x v="9"/>
            <x v="10"/>
            <x v="11"/>
            <x v="12"/>
          </reference>
          <reference field="9" count="1" selected="0">
            <x v="7"/>
          </reference>
        </references>
      </pivotArea>
    </format>
    <format dxfId="233">
      <pivotArea collapsedLevelsAreSubtotals="1" fieldPosition="0">
        <references count="2">
          <reference field="4294967294" count="1" selected="0">
            <x v="0"/>
          </reference>
          <reference field="9" count="1">
            <x v="8"/>
          </reference>
        </references>
      </pivotArea>
    </format>
    <format dxfId="232">
      <pivotArea collapsedLevelsAreSubtotals="1" fieldPosition="0">
        <references count="3">
          <reference field="4294967294" count="1" selected="0">
            <x v="0"/>
          </reference>
          <reference field="0" count="11">
            <x v="1"/>
            <x v="3"/>
            <x v="4"/>
            <x v="5"/>
            <x v="6"/>
            <x v="7"/>
            <x v="8"/>
            <x v="9"/>
            <x v="10"/>
            <x v="11"/>
            <x v="12"/>
          </reference>
          <reference field="9" count="1" selected="0">
            <x v="8"/>
          </reference>
        </references>
      </pivotArea>
    </format>
    <format dxfId="231">
      <pivotArea collapsedLevelsAreSubtotals="1" fieldPosition="0">
        <references count="2">
          <reference field="4294967294" count="1" selected="0">
            <x v="0"/>
          </reference>
          <reference field="9" count="1">
            <x v="9"/>
          </reference>
        </references>
      </pivotArea>
    </format>
    <format dxfId="230">
      <pivotArea collapsedLevelsAreSubtotals="1" fieldPosition="0">
        <references count="3">
          <reference field="4294967294" count="1" selected="0">
            <x v="0"/>
          </reference>
          <reference field="0" count="4">
            <x v="1"/>
            <x v="2"/>
            <x v="3"/>
            <x v="4"/>
          </reference>
          <reference field="9" count="1" selected="0">
            <x v="9"/>
          </reference>
        </references>
      </pivotArea>
    </format>
    <format dxfId="229">
      <pivotArea collapsedLevelsAreSubtotals="1" fieldPosition="0">
        <references count="3">
          <reference field="4294967294" count="1" selected="0">
            <x v="1"/>
          </reference>
          <reference field="0" count="5">
            <x v="8"/>
            <x v="9"/>
            <x v="10"/>
            <x v="11"/>
            <x v="12"/>
          </reference>
          <reference field="9" count="1" selected="0">
            <x v="1"/>
          </reference>
        </references>
      </pivotArea>
    </format>
    <format dxfId="228">
      <pivotArea collapsedLevelsAreSubtotals="1" fieldPosition="0">
        <references count="2">
          <reference field="4294967294" count="1" selected="0">
            <x v="1"/>
          </reference>
          <reference field="9" count="1">
            <x v="2"/>
          </reference>
        </references>
      </pivotArea>
    </format>
    <format dxfId="227">
      <pivotArea collapsedLevelsAreSubtotals="1" fieldPosition="0">
        <references count="3">
          <reference field="4294967294" count="1" selected="0">
            <x v="1"/>
          </reference>
          <reference field="0" count="7">
            <x v="1"/>
            <x v="2"/>
            <x v="3"/>
            <x v="4"/>
            <x v="5"/>
            <x v="6"/>
            <x v="7"/>
          </reference>
          <reference field="9" count="1" selected="0">
            <x v="2"/>
          </reference>
        </references>
      </pivotArea>
    </format>
    <format dxfId="226">
      <pivotArea collapsedLevelsAreSubtotals="1" fieldPosition="0">
        <references count="2">
          <reference field="4294967294" count="1" selected="0">
            <x v="1"/>
          </reference>
          <reference field="9" count="1">
            <x v="3"/>
          </reference>
        </references>
      </pivotArea>
    </format>
    <format dxfId="225">
      <pivotArea collapsedLevelsAreSubtotals="1" fieldPosition="0">
        <references count="3">
          <reference field="4294967294" count="1" selected="0">
            <x v="1"/>
          </reference>
          <reference field="0" count="5">
            <x v="5"/>
            <x v="6"/>
            <x v="7"/>
            <x v="9"/>
            <x v="10"/>
          </reference>
          <reference field="9" count="1" selected="0">
            <x v="3"/>
          </reference>
        </references>
      </pivotArea>
    </format>
    <format dxfId="224">
      <pivotArea collapsedLevelsAreSubtotals="1" fieldPosition="0">
        <references count="2">
          <reference field="4294967294" count="1" selected="0">
            <x v="1"/>
          </reference>
          <reference field="9" count="1">
            <x v="6"/>
          </reference>
        </references>
      </pivotArea>
    </format>
    <format dxfId="223">
      <pivotArea collapsedLevelsAreSubtotals="1" fieldPosition="0">
        <references count="3">
          <reference field="4294967294" count="1" selected="0">
            <x v="1"/>
          </reference>
          <reference field="0" count="8">
            <x v="5"/>
            <x v="6"/>
            <x v="7"/>
            <x v="8"/>
            <x v="9"/>
            <x v="10"/>
            <x v="11"/>
            <x v="12"/>
          </reference>
          <reference field="9" count="1" selected="0">
            <x v="6"/>
          </reference>
        </references>
      </pivotArea>
    </format>
    <format dxfId="222">
      <pivotArea collapsedLevelsAreSubtotals="1" fieldPosition="0">
        <references count="2">
          <reference field="4294967294" count="1" selected="0">
            <x v="1"/>
          </reference>
          <reference field="9" count="1">
            <x v="7"/>
          </reference>
        </references>
      </pivotArea>
    </format>
    <format dxfId="221">
      <pivotArea collapsedLevelsAreSubtotals="1" fieldPosition="0">
        <references count="3">
          <reference field="4294967294" count="1" selected="0">
            <x v="1"/>
          </reference>
          <reference field="0" count="11">
            <x v="1"/>
            <x v="2"/>
            <x v="3"/>
            <x v="4"/>
            <x v="5"/>
            <x v="6"/>
            <x v="7"/>
            <x v="9"/>
            <x v="10"/>
            <x v="11"/>
            <x v="12"/>
          </reference>
          <reference field="9" count="1" selected="0">
            <x v="7"/>
          </reference>
        </references>
      </pivotArea>
    </format>
    <format dxfId="220">
      <pivotArea collapsedLevelsAreSubtotals="1" fieldPosition="0">
        <references count="2">
          <reference field="4294967294" count="1" selected="0">
            <x v="1"/>
          </reference>
          <reference field="9" count="1">
            <x v="8"/>
          </reference>
        </references>
      </pivotArea>
    </format>
    <format dxfId="219">
      <pivotArea collapsedLevelsAreSubtotals="1" fieldPosition="0">
        <references count="3">
          <reference field="4294967294" count="1" selected="0">
            <x v="1"/>
          </reference>
          <reference field="0" count="11">
            <x v="1"/>
            <x v="3"/>
            <x v="4"/>
            <x v="5"/>
            <x v="6"/>
            <x v="7"/>
            <x v="8"/>
            <x v="9"/>
            <x v="10"/>
            <x v="11"/>
            <x v="12"/>
          </reference>
          <reference field="9" count="1" selected="0">
            <x v="8"/>
          </reference>
        </references>
      </pivotArea>
    </format>
    <format dxfId="218">
      <pivotArea collapsedLevelsAreSubtotals="1" fieldPosition="0">
        <references count="2">
          <reference field="4294967294" count="1" selected="0">
            <x v="1"/>
          </reference>
          <reference field="9" count="1">
            <x v="9"/>
          </reference>
        </references>
      </pivotArea>
    </format>
    <format dxfId="217">
      <pivotArea collapsedLevelsAreSubtotals="1" fieldPosition="0">
        <references count="3">
          <reference field="4294967294" count="1" selected="0">
            <x v="1"/>
          </reference>
          <reference field="0" count="4">
            <x v="1"/>
            <x v="2"/>
            <x v="3"/>
            <x v="4"/>
          </reference>
          <reference field="9" count="1" selected="0">
            <x v="9"/>
          </reference>
        </references>
      </pivotArea>
    </format>
    <format dxfId="216">
      <pivotArea grandRow="1" outline="0" collapsedLevelsAreSubtotals="1" fieldPosition="0"/>
    </format>
    <format dxfId="215">
      <pivotArea collapsedLevelsAreSubtotals="1" fieldPosition="0">
        <references count="3">
          <reference field="4294967294" count="1" selected="0">
            <x v="1"/>
          </reference>
          <reference field="0" count="1">
            <x v="5"/>
          </reference>
          <reference field="9" count="1" selected="0">
            <x v="9"/>
          </reference>
        </references>
      </pivotArea>
    </format>
    <format dxfId="34">
      <pivotArea type="all" dataOnly="0" outline="0" fieldPosition="0"/>
    </format>
    <format dxfId="33">
      <pivotArea outline="0" collapsedLevelsAreSubtotals="1" fieldPosition="0"/>
    </format>
    <format dxfId="32">
      <pivotArea field="9" type="button" dataOnly="0" labelOnly="1" outline="0" axis="axisRow" fieldPosition="0"/>
    </format>
    <format dxfId="31">
      <pivotArea dataOnly="0" labelOnly="1" fieldPosition="0">
        <references count="1">
          <reference field="9" count="0"/>
        </references>
      </pivotArea>
    </format>
    <format dxfId="30">
      <pivotArea dataOnly="0" labelOnly="1" grandRow="1" outline="0" fieldPosition="0"/>
    </format>
    <format dxfId="29">
      <pivotArea dataOnly="0" labelOnly="1" fieldPosition="0">
        <references count="2">
          <reference field="0" count="5">
            <x v="8"/>
            <x v="9"/>
            <x v="10"/>
            <x v="11"/>
            <x v="12"/>
          </reference>
          <reference field="9" count="1" selected="0">
            <x v="1"/>
          </reference>
        </references>
      </pivotArea>
    </format>
    <format dxfId="28">
      <pivotArea dataOnly="0" labelOnly="1" fieldPosition="0">
        <references count="2">
          <reference field="0" count="7">
            <x v="1"/>
            <x v="2"/>
            <x v="3"/>
            <x v="4"/>
            <x v="5"/>
            <x v="6"/>
            <x v="7"/>
          </reference>
          <reference field="9" count="1" selected="0">
            <x v="2"/>
          </reference>
        </references>
      </pivotArea>
    </format>
    <format dxfId="27">
      <pivotArea dataOnly="0" labelOnly="1" fieldPosition="0">
        <references count="2">
          <reference field="0" count="4">
            <x v="5"/>
            <x v="6"/>
            <x v="7"/>
            <x v="9"/>
          </reference>
          <reference field="9" count="1" selected="0">
            <x v="3"/>
          </reference>
        </references>
      </pivotArea>
    </format>
    <format dxfId="26">
      <pivotArea dataOnly="0" labelOnly="1" fieldPosition="0">
        <references count="2">
          <reference field="0" count="1">
            <x v="12"/>
          </reference>
          <reference field="9" count="1" selected="0">
            <x v="4"/>
          </reference>
        </references>
      </pivotArea>
    </format>
    <format dxfId="25">
      <pivotArea dataOnly="0" labelOnly="1" fieldPosition="0">
        <references count="2">
          <reference field="0" count="1">
            <x v="12"/>
          </reference>
          <reference field="9" count="1" selected="0">
            <x v="5"/>
          </reference>
        </references>
      </pivotArea>
    </format>
    <format dxfId="24">
      <pivotArea dataOnly="0" labelOnly="1" fieldPosition="0">
        <references count="2">
          <reference field="0" count="8">
            <x v="5"/>
            <x v="6"/>
            <x v="7"/>
            <x v="8"/>
            <x v="9"/>
            <x v="10"/>
            <x v="11"/>
            <x v="12"/>
          </reference>
          <reference field="9" count="1" selected="0">
            <x v="6"/>
          </reference>
        </references>
      </pivotArea>
    </format>
    <format dxfId="23">
      <pivotArea dataOnly="0" labelOnly="1" fieldPosition="0">
        <references count="2">
          <reference field="0" count="11">
            <x v="1"/>
            <x v="2"/>
            <x v="3"/>
            <x v="4"/>
            <x v="5"/>
            <x v="6"/>
            <x v="7"/>
            <x v="9"/>
            <x v="10"/>
            <x v="11"/>
            <x v="12"/>
          </reference>
          <reference field="9" count="1" selected="0">
            <x v="7"/>
          </reference>
        </references>
      </pivotArea>
    </format>
    <format dxfId="22">
      <pivotArea dataOnly="0" labelOnly="1" fieldPosition="0">
        <references count="2">
          <reference field="0" count="11">
            <x v="1"/>
            <x v="3"/>
            <x v="4"/>
            <x v="5"/>
            <x v="6"/>
            <x v="7"/>
            <x v="8"/>
            <x v="9"/>
            <x v="10"/>
            <x v="11"/>
            <x v="12"/>
          </reference>
          <reference field="9" count="1" selected="0">
            <x v="8"/>
          </reference>
        </references>
      </pivotArea>
    </format>
    <format dxfId="21">
      <pivotArea dataOnly="0" labelOnly="1" fieldPosition="0">
        <references count="2">
          <reference field="0" count="5">
            <x v="1"/>
            <x v="2"/>
            <x v="3"/>
            <x v="4"/>
            <x v="5"/>
          </reference>
          <reference field="9" count="1" selected="0">
            <x v="9"/>
          </reference>
        </references>
      </pivotArea>
    </format>
    <format dxfId="20">
      <pivotArea dataOnly="0" labelOnly="1" outline="0" fieldPosition="0">
        <references count="1">
          <reference field="4294967294" count="2">
            <x v="0"/>
            <x v="1"/>
          </reference>
        </references>
      </pivotArea>
    </format>
  </formats>
  <chartFormats count="2">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rowHeaderCaption="Fecha">
  <location ref="A1:B64" firstHeaderRow="1" firstDataRow="1" firstDataCol="1"/>
  <pivotFields count="10">
    <pivotField axis="axisRow" numFmtId="14" showAll="0">
      <items count="15">
        <item h="1" x="0"/>
        <item x="1"/>
        <item x="2"/>
        <item x="3"/>
        <item x="4"/>
        <item x="5"/>
        <item x="6"/>
        <item x="7"/>
        <item x="8"/>
        <item x="9"/>
        <item x="10"/>
        <item x="11"/>
        <item x="12"/>
        <item x="13"/>
        <item t="default"/>
      </items>
    </pivotField>
    <pivotField showAll="0"/>
    <pivotField showAll="0"/>
    <pivotField showAll="0"/>
    <pivotField showAll="0"/>
    <pivotField showAll="0"/>
    <pivotField dataField="1" showAll="0"/>
    <pivotField numFmtId="2" showAll="0"/>
    <pivotField showAll="0" defaultSubtotal="0">
      <items count="6">
        <item x="0"/>
        <item x="1"/>
        <item x="2"/>
        <item x="3"/>
        <item x="4"/>
        <item x="5"/>
      </items>
    </pivotField>
    <pivotField axis="axisRow" showAll="0" defaultSubtotal="0">
      <items count="11">
        <item x="0"/>
        <item x="1"/>
        <item x="2"/>
        <item x="3"/>
        <item x="4"/>
        <item x="5"/>
        <item x="6"/>
        <item x="7"/>
        <item x="8"/>
        <item x="9"/>
        <item x="10"/>
      </items>
    </pivotField>
  </pivotFields>
  <rowFields count="2">
    <field x="9"/>
    <field x="0"/>
  </rowFields>
  <rowItems count="63">
    <i>
      <x v="1"/>
    </i>
    <i r="1">
      <x v="8"/>
    </i>
    <i r="1">
      <x v="9"/>
    </i>
    <i r="1">
      <x v="10"/>
    </i>
    <i r="1">
      <x v="11"/>
    </i>
    <i r="1">
      <x v="12"/>
    </i>
    <i>
      <x v="2"/>
    </i>
    <i r="1">
      <x v="1"/>
    </i>
    <i r="1">
      <x v="2"/>
    </i>
    <i r="1">
      <x v="3"/>
    </i>
    <i r="1">
      <x v="4"/>
    </i>
    <i r="1">
      <x v="5"/>
    </i>
    <i r="1">
      <x v="6"/>
    </i>
    <i r="1">
      <x v="7"/>
    </i>
    <i>
      <x v="3"/>
    </i>
    <i r="1">
      <x v="5"/>
    </i>
    <i r="1">
      <x v="6"/>
    </i>
    <i r="1">
      <x v="7"/>
    </i>
    <i r="1">
      <x v="9"/>
    </i>
    <i>
      <x v="4"/>
    </i>
    <i r="1">
      <x v="12"/>
    </i>
    <i>
      <x v="5"/>
    </i>
    <i r="1">
      <x v="12"/>
    </i>
    <i>
      <x v="6"/>
    </i>
    <i r="1">
      <x v="5"/>
    </i>
    <i r="1">
      <x v="6"/>
    </i>
    <i r="1">
      <x v="7"/>
    </i>
    <i r="1">
      <x v="8"/>
    </i>
    <i r="1">
      <x v="9"/>
    </i>
    <i r="1">
      <x v="10"/>
    </i>
    <i r="1">
      <x v="11"/>
    </i>
    <i r="1">
      <x v="12"/>
    </i>
    <i>
      <x v="7"/>
    </i>
    <i r="1">
      <x v="1"/>
    </i>
    <i r="1">
      <x v="2"/>
    </i>
    <i r="1">
      <x v="3"/>
    </i>
    <i r="1">
      <x v="4"/>
    </i>
    <i r="1">
      <x v="5"/>
    </i>
    <i r="1">
      <x v="6"/>
    </i>
    <i r="1">
      <x v="7"/>
    </i>
    <i r="1">
      <x v="9"/>
    </i>
    <i r="1">
      <x v="10"/>
    </i>
    <i r="1">
      <x v="11"/>
    </i>
    <i r="1">
      <x v="12"/>
    </i>
    <i>
      <x v="8"/>
    </i>
    <i r="1">
      <x v="1"/>
    </i>
    <i r="1">
      <x v="3"/>
    </i>
    <i r="1">
      <x v="4"/>
    </i>
    <i r="1">
      <x v="5"/>
    </i>
    <i r="1">
      <x v="6"/>
    </i>
    <i r="1">
      <x v="7"/>
    </i>
    <i r="1">
      <x v="8"/>
    </i>
    <i r="1">
      <x v="9"/>
    </i>
    <i r="1">
      <x v="10"/>
    </i>
    <i r="1">
      <x v="11"/>
    </i>
    <i r="1">
      <x v="12"/>
    </i>
    <i>
      <x v="9"/>
    </i>
    <i r="1">
      <x v="1"/>
    </i>
    <i r="1">
      <x v="2"/>
    </i>
    <i r="1">
      <x v="3"/>
    </i>
    <i r="1">
      <x v="4"/>
    </i>
    <i r="1">
      <x v="5"/>
    </i>
    <i t="grand">
      <x/>
    </i>
  </rowItems>
  <colItems count="1">
    <i/>
  </colItems>
  <dataFields count="1">
    <dataField name="Sum of Kms Recorridos" fld="6" baseField="0" baseItem="0"/>
  </dataFields>
  <formats count="20">
    <format dxfId="0">
      <pivotArea type="all" dataOnly="0" outline="0" fieldPosition="0"/>
    </format>
    <format dxfId="1">
      <pivotArea outline="0" collapsedLevelsAreSubtotals="1" fieldPosition="0"/>
    </format>
    <format dxfId="2">
      <pivotArea field="9" type="button" dataOnly="0" labelOnly="1" outline="0" axis="axisRow" fieldPosition="0"/>
    </format>
    <format dxfId="3">
      <pivotArea dataOnly="0" labelOnly="1" outline="0" axis="axisValues" fieldPosition="0"/>
    </format>
    <format dxfId="4">
      <pivotArea dataOnly="0" labelOnly="1" fieldPosition="0">
        <references count="1">
          <reference field="9" count="9">
            <x v="1"/>
            <x v="2"/>
            <x v="3"/>
            <x v="4"/>
            <x v="5"/>
            <x v="6"/>
            <x v="7"/>
            <x v="8"/>
            <x v="9"/>
          </reference>
        </references>
      </pivotArea>
    </format>
    <format dxfId="5">
      <pivotArea dataOnly="0" labelOnly="1" grandRow="1" outline="0" fieldPosition="0"/>
    </format>
    <format dxfId="6">
      <pivotArea dataOnly="0" labelOnly="1" fieldPosition="0">
        <references count="2">
          <reference field="0" count="5">
            <x v="8"/>
            <x v="9"/>
            <x v="10"/>
            <x v="11"/>
            <x v="12"/>
          </reference>
          <reference field="9" count="1" selected="0">
            <x v="1"/>
          </reference>
        </references>
      </pivotArea>
    </format>
    <format dxfId="7">
      <pivotArea dataOnly="0" labelOnly="1" fieldPosition="0">
        <references count="2">
          <reference field="0" count="7">
            <x v="1"/>
            <x v="2"/>
            <x v="3"/>
            <x v="4"/>
            <x v="5"/>
            <x v="6"/>
            <x v="7"/>
          </reference>
          <reference field="9" count="1" selected="0">
            <x v="2"/>
          </reference>
        </references>
      </pivotArea>
    </format>
    <format dxfId="8">
      <pivotArea dataOnly="0" labelOnly="1" fieldPosition="0">
        <references count="2">
          <reference field="0" count="4">
            <x v="5"/>
            <x v="6"/>
            <x v="7"/>
            <x v="9"/>
          </reference>
          <reference field="9" count="1" selected="0">
            <x v="3"/>
          </reference>
        </references>
      </pivotArea>
    </format>
    <format dxfId="9">
      <pivotArea dataOnly="0" labelOnly="1" fieldPosition="0">
        <references count="2">
          <reference field="0" count="1">
            <x v="12"/>
          </reference>
          <reference field="9" count="1" selected="0">
            <x v="4"/>
          </reference>
        </references>
      </pivotArea>
    </format>
    <format dxfId="10">
      <pivotArea dataOnly="0" labelOnly="1" fieldPosition="0">
        <references count="2">
          <reference field="0" count="1">
            <x v="12"/>
          </reference>
          <reference field="9" count="1" selected="0">
            <x v="5"/>
          </reference>
        </references>
      </pivotArea>
    </format>
    <format dxfId="11">
      <pivotArea dataOnly="0" labelOnly="1" fieldPosition="0">
        <references count="2">
          <reference field="0" count="8">
            <x v="5"/>
            <x v="6"/>
            <x v="7"/>
            <x v="8"/>
            <x v="9"/>
            <x v="10"/>
            <x v="11"/>
            <x v="12"/>
          </reference>
          <reference field="9" count="1" selected="0">
            <x v="6"/>
          </reference>
        </references>
      </pivotArea>
    </format>
    <format dxfId="12">
      <pivotArea dataOnly="0" labelOnly="1" fieldPosition="0">
        <references count="2">
          <reference field="0" count="11">
            <x v="1"/>
            <x v="2"/>
            <x v="3"/>
            <x v="4"/>
            <x v="5"/>
            <x v="6"/>
            <x v="7"/>
            <x v="9"/>
            <x v="10"/>
            <x v="11"/>
            <x v="12"/>
          </reference>
          <reference field="9" count="1" selected="0">
            <x v="7"/>
          </reference>
        </references>
      </pivotArea>
    </format>
    <format dxfId="13">
      <pivotArea dataOnly="0" labelOnly="1" fieldPosition="0">
        <references count="2">
          <reference field="0" count="11">
            <x v="1"/>
            <x v="3"/>
            <x v="4"/>
            <x v="5"/>
            <x v="6"/>
            <x v="7"/>
            <x v="8"/>
            <x v="9"/>
            <x v="10"/>
            <x v="11"/>
            <x v="12"/>
          </reference>
          <reference field="9" count="1" selected="0">
            <x v="8"/>
          </reference>
        </references>
      </pivotArea>
    </format>
    <format dxfId="14">
      <pivotArea dataOnly="0" labelOnly="1" fieldPosition="0">
        <references count="2">
          <reference field="0" count="5">
            <x v="1"/>
            <x v="2"/>
            <x v="3"/>
            <x v="4"/>
            <x v="5"/>
          </reference>
          <reference field="9" count="1" selected="0">
            <x v="9"/>
          </reference>
        </references>
      </pivotArea>
    </format>
    <format dxfId="15">
      <pivotArea dataOnly="0" labelOnly="1" outline="0" axis="axisValues" fieldPosition="0"/>
    </format>
    <format dxfId="16">
      <pivotArea field="9" type="button" dataOnly="0" labelOnly="1" outline="0" axis="axisRow" fieldPosition="0"/>
    </format>
    <format dxfId="17">
      <pivotArea dataOnly="0" labelOnly="1" outline="0" axis="axisValues" fieldPosition="0"/>
    </format>
    <format dxfId="18">
      <pivotArea dataOnly="0" labelOnly="1" outline="0" axis="axisValues" fieldPosition="0"/>
    </format>
    <format dxfId="19">
      <pivotArea dataOnly="0" grandRow="1" fieldPosition="0"/>
    </format>
  </formats>
  <chartFormats count="1">
    <chartFormat chart="0" format="2"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ables/table1.xml><?xml version="1.0" encoding="utf-8"?>
<table xmlns="http://schemas.openxmlformats.org/spreadsheetml/2006/main" id="1" name="Table1" displayName="Table1" ref="A1:I151" totalsRowShown="0" headerRowDxfId="252" dataDxfId="251">
  <autoFilter ref="A1:I151"/>
  <tableColumns count="9">
    <tableColumn id="1" name="FECHA" dataDxfId="250"/>
    <tableColumn id="2" name="DIAS" dataDxfId="249"/>
    <tableColumn id="3" name="LITROS" dataDxfId="248"/>
    <tableColumn id="4" name="DINERO" dataDxfId="247"/>
    <tableColumn id="5" name="€/LITRO" dataDxfId="246"/>
    <tableColumn id="6" name="KMS" dataDxfId="245"/>
    <tableColumn id="7" name="Kms Recorridos" dataDxfId="244"/>
    <tableColumn id="8" name="Calculo €/L" dataDxfId="243">
      <calculatedColumnFormula>IF(D2="","",D2/C2)</calculatedColumnFormula>
    </tableColumn>
    <tableColumn id="9" name="Año" dataCellStyle="Normal">
      <calculatedColumnFormula>MID(TEXT(A2,"aaaa/mm/dd"),1,4)</calculatedColumnFormula>
    </tableColumn>
  </tableColumns>
  <tableStyleInfo name="TableStyleLight10"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25"/>
  <sheetViews>
    <sheetView showGridLines="0" tabSelected="1" workbookViewId="0">
      <selection activeCell="G9" sqref="G9"/>
    </sheetView>
  </sheetViews>
  <sheetFormatPr defaultRowHeight="12.75"/>
  <cols>
    <col min="1" max="1" width="21.5703125" bestFit="1" customWidth="1"/>
    <col min="2" max="2" width="89.140625" customWidth="1"/>
  </cols>
  <sheetData>
    <row r="1" spans="1:3" ht="20.25" thickBot="1">
      <c r="A1" s="35" t="s">
        <v>55</v>
      </c>
      <c r="B1" s="35"/>
      <c r="C1" s="6"/>
    </row>
    <row r="2" spans="1:3" ht="20.25" customHeight="1" thickTop="1" thickBot="1">
      <c r="A2" s="8" t="s">
        <v>51</v>
      </c>
      <c r="B2" s="6" t="s">
        <v>49</v>
      </c>
      <c r="C2" s="6"/>
    </row>
    <row r="3" spans="1:3" ht="22.5" customHeight="1" thickBot="1">
      <c r="A3" s="8" t="s">
        <v>47</v>
      </c>
      <c r="B3" s="6" t="s">
        <v>48</v>
      </c>
      <c r="C3" s="6"/>
    </row>
    <row r="4" spans="1:3" ht="30.75" customHeight="1" thickBot="1">
      <c r="A4" s="8" t="s">
        <v>52</v>
      </c>
      <c r="B4" s="7" t="s">
        <v>57</v>
      </c>
      <c r="C4" s="6"/>
    </row>
    <row r="5" spans="1:3" ht="69.75" customHeight="1" thickBot="1">
      <c r="A5" s="8" t="s">
        <v>56</v>
      </c>
      <c r="B5" s="7" t="s">
        <v>46</v>
      </c>
      <c r="C5" s="6"/>
    </row>
    <row r="6" spans="1:3" ht="69.75" customHeight="1" thickBot="1">
      <c r="A6" s="8" t="s">
        <v>62</v>
      </c>
      <c r="B6" s="7" t="s">
        <v>63</v>
      </c>
      <c r="C6" s="6"/>
    </row>
    <row r="7" spans="1:3" ht="69.75" customHeight="1" thickBot="1">
      <c r="A7" s="8" t="s">
        <v>43</v>
      </c>
      <c r="B7" s="6" t="s">
        <v>58</v>
      </c>
      <c r="C7" s="6"/>
    </row>
    <row r="8" spans="1:3" ht="69.75" customHeight="1" thickBot="1">
      <c r="A8" s="8" t="s">
        <v>44</v>
      </c>
      <c r="B8" s="6" t="s">
        <v>50</v>
      </c>
      <c r="C8" s="6"/>
    </row>
    <row r="9" spans="1:3" ht="69.75" customHeight="1" thickBot="1">
      <c r="A9" s="8" t="s">
        <v>64</v>
      </c>
      <c r="B9" s="6" t="s">
        <v>65</v>
      </c>
      <c r="C9" s="6"/>
    </row>
    <row r="10" spans="1:3" ht="69.75" customHeight="1" thickBot="1">
      <c r="A10" s="8" t="s">
        <v>53</v>
      </c>
      <c r="B10" s="6" t="s">
        <v>54</v>
      </c>
      <c r="C10" s="6"/>
    </row>
    <row r="12" spans="1:3">
      <c r="A12" s="5"/>
    </row>
    <row r="14" spans="1:3">
      <c r="A14" s="5"/>
    </row>
    <row r="15" spans="1:3">
      <c r="A15" s="5"/>
    </row>
    <row r="16" spans="1:3">
      <c r="A16" s="5"/>
    </row>
    <row r="17" spans="1:1">
      <c r="A17" s="5"/>
    </row>
    <row r="18" spans="1:1">
      <c r="A18" s="5"/>
    </row>
    <row r="19" spans="1:1">
      <c r="A19" s="5"/>
    </row>
    <row r="21" spans="1:1">
      <c r="A21" s="5"/>
    </row>
    <row r="22" spans="1:1">
      <c r="A22" s="5"/>
    </row>
    <row r="23" spans="1:1">
      <c r="A23" s="5"/>
    </row>
    <row r="24" spans="1:1">
      <c r="A24" s="5"/>
    </row>
    <row r="25" spans="1:1">
      <c r="A25" s="5"/>
    </row>
  </sheetData>
  <mergeCells count="1">
    <mergeCell ref="A1:B1"/>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MK151"/>
  <sheetViews>
    <sheetView zoomScale="85" zoomScaleNormal="85" workbookViewId="0">
      <pane ySplit="1" topLeftCell="A2" activePane="bottomLeft" state="frozen"/>
      <selection pane="bottomLeft" activeCell="Q9" sqref="Q9"/>
    </sheetView>
  </sheetViews>
  <sheetFormatPr defaultRowHeight="14.25"/>
  <cols>
    <col min="1" max="1" width="11.85546875" style="1" bestFit="1" customWidth="1"/>
    <col min="2" max="2" width="10.140625" style="1" bestFit="1" customWidth="1"/>
    <col min="3" max="3" width="12.5703125" style="2" bestFit="1" customWidth="1"/>
    <col min="4" max="4" width="12.7109375" style="1" bestFit="1" customWidth="1"/>
    <col min="5" max="5" width="12.85546875" style="1" bestFit="1" customWidth="1"/>
    <col min="6" max="6" width="15.140625" style="1" customWidth="1"/>
    <col min="7" max="7" width="17.28515625" style="3" customWidth="1"/>
    <col min="8" max="8" width="12.28515625" style="1" customWidth="1"/>
    <col min="9" max="9" width="14.140625" hidden="1" customWidth="1"/>
    <col min="10" max="10" width="7.42578125" customWidth="1"/>
    <col min="11" max="11" width="20.28515625" style="1" customWidth="1"/>
    <col min="12" max="12" width="16" style="1" customWidth="1"/>
    <col min="13" max="13" width="9.5703125" style="1" customWidth="1"/>
    <col min="14" max="14" width="9.42578125" style="1" bestFit="1" customWidth="1"/>
    <col min="15" max="15" width="15.85546875" style="5" customWidth="1"/>
    <col min="16" max="16" width="15.85546875" style="1" customWidth="1"/>
    <col min="17" max="1025" width="17" style="1" customWidth="1"/>
  </cols>
  <sheetData>
    <row r="1" spans="1:16" ht="15" customHeight="1">
      <c r="A1" s="16" t="s">
        <v>0</v>
      </c>
      <c r="B1" s="17" t="s">
        <v>1</v>
      </c>
      <c r="C1" s="17" t="s">
        <v>2</v>
      </c>
      <c r="D1" s="17" t="s">
        <v>3</v>
      </c>
      <c r="E1" s="17" t="s">
        <v>4</v>
      </c>
      <c r="F1" s="17" t="s">
        <v>5</v>
      </c>
      <c r="G1" s="18" t="s">
        <v>6</v>
      </c>
      <c r="H1" s="19" t="s">
        <v>7</v>
      </c>
      <c r="I1" s="15" t="s">
        <v>42</v>
      </c>
      <c r="K1"/>
      <c r="L1"/>
      <c r="M1"/>
      <c r="N1"/>
    </row>
    <row r="2" spans="1:16" ht="15" customHeight="1">
      <c r="A2" s="9">
        <v>40771</v>
      </c>
      <c r="B2" s="10">
        <f>IF(A3&lt;&gt;"",_xlfn.DAYS(A3,A2),"")</f>
        <v>7</v>
      </c>
      <c r="C2" s="10">
        <v>3.79</v>
      </c>
      <c r="D2" s="10">
        <v>5</v>
      </c>
      <c r="E2" s="10">
        <v>1.31</v>
      </c>
      <c r="F2" s="10">
        <v>9745.7999999999993</v>
      </c>
      <c r="G2" s="10">
        <f t="shared" ref="G2:G34" si="0">IF(F3&lt;&gt;"",F3-F2,"")</f>
        <v>95</v>
      </c>
      <c r="H2" s="11">
        <f t="shared" ref="H2:H66" si="1">IF(D2="","",D2/C2)</f>
        <v>1.3192612137203166</v>
      </c>
      <c r="I2" s="15" t="str">
        <f t="shared" ref="I2:I33" si="2">MID(TEXT(A2,"aaaa/mm/dd"),1,4)</f>
        <v>2011</v>
      </c>
      <c r="K2" s="36" t="s">
        <v>9</v>
      </c>
      <c r="L2" s="37"/>
      <c r="M2" s="27"/>
      <c r="N2" s="4"/>
    </row>
    <row r="3" spans="1:16" ht="15" customHeight="1">
      <c r="A3" s="9">
        <v>40778</v>
      </c>
      <c r="B3" s="10">
        <f t="shared" ref="B3:B66" si="3">IF(A4&lt;&gt;"",_xlfn.DAYS(A4,A3),"")</f>
        <v>9</v>
      </c>
      <c r="C3" s="10">
        <v>3.81</v>
      </c>
      <c r="D3" s="10">
        <v>5</v>
      </c>
      <c r="E3" s="10">
        <v>1.31</v>
      </c>
      <c r="F3" s="10">
        <v>9840.7999999999993</v>
      </c>
      <c r="G3" s="10">
        <f t="shared" si="0"/>
        <v>141.5</v>
      </c>
      <c r="H3" s="11">
        <f t="shared" si="1"/>
        <v>1.3123359580052494</v>
      </c>
      <c r="I3" s="15" t="str">
        <f t="shared" si="2"/>
        <v>2011</v>
      </c>
      <c r="K3" s="25" t="s">
        <v>10</v>
      </c>
      <c r="L3" s="28">
        <f>DATEDIF(A2,MAX(A2:A150),"y")</f>
        <v>7</v>
      </c>
      <c r="M3" s="27"/>
      <c r="N3"/>
      <c r="P3"/>
    </row>
    <row r="4" spans="1:16" ht="15" customHeight="1">
      <c r="A4" s="9">
        <v>40787</v>
      </c>
      <c r="B4" s="10">
        <f t="shared" si="3"/>
        <v>20</v>
      </c>
      <c r="C4" s="10">
        <v>10</v>
      </c>
      <c r="D4" s="10">
        <v>13.37</v>
      </c>
      <c r="E4" s="10">
        <v>1.337</v>
      </c>
      <c r="F4" s="10">
        <v>9982.2999999999993</v>
      </c>
      <c r="G4" s="10">
        <f t="shared" si="0"/>
        <v>425.20000000000073</v>
      </c>
      <c r="H4" s="11">
        <f t="shared" si="1"/>
        <v>1.337</v>
      </c>
      <c r="I4" s="15" t="str">
        <f t="shared" si="2"/>
        <v>2011</v>
      </c>
      <c r="K4" s="25" t="s">
        <v>11</v>
      </c>
      <c r="L4" s="28">
        <f>DATEDIF(A2,MAX(A2:A150),"m")</f>
        <v>93</v>
      </c>
      <c r="M4" s="27"/>
      <c r="N4"/>
      <c r="P4"/>
    </row>
    <row r="5" spans="1:16" ht="15" customHeight="1">
      <c r="A5" s="9">
        <v>40807</v>
      </c>
      <c r="B5" s="10">
        <f t="shared" si="3"/>
        <v>8</v>
      </c>
      <c r="C5" s="10">
        <v>5</v>
      </c>
      <c r="D5" s="10">
        <v>6.49</v>
      </c>
      <c r="E5" s="10">
        <v>1.3580000000000001</v>
      </c>
      <c r="F5" s="10">
        <v>10407.5</v>
      </c>
      <c r="G5" s="10">
        <f t="shared" si="0"/>
        <v>173.5</v>
      </c>
      <c r="H5" s="11">
        <f t="shared" si="1"/>
        <v>1.298</v>
      </c>
      <c r="I5" s="15" t="str">
        <f t="shared" si="2"/>
        <v>2011</v>
      </c>
      <c r="K5" s="26" t="s">
        <v>12</v>
      </c>
      <c r="L5" s="29">
        <f>_xlfn.DAYS(MAX(A2:A150),A2)</f>
        <v>2845</v>
      </c>
      <c r="M5" s="27"/>
      <c r="N5"/>
    </row>
    <row r="6" spans="1:16" ht="15" customHeight="1">
      <c r="A6" s="9">
        <v>40815</v>
      </c>
      <c r="B6" s="10">
        <f t="shared" si="3"/>
        <v>21</v>
      </c>
      <c r="C6" s="10">
        <v>10</v>
      </c>
      <c r="D6" s="10">
        <v>13.22</v>
      </c>
      <c r="E6" s="10">
        <v>1.3220000000000001</v>
      </c>
      <c r="F6" s="10">
        <v>10581</v>
      </c>
      <c r="G6" s="10">
        <f t="shared" si="0"/>
        <v>375.39999999999964</v>
      </c>
      <c r="H6" s="11">
        <f t="shared" si="1"/>
        <v>1.3220000000000001</v>
      </c>
      <c r="I6" s="15" t="str">
        <f t="shared" si="2"/>
        <v>2011</v>
      </c>
      <c r="K6" s="27"/>
      <c r="L6" s="27"/>
      <c r="M6" s="27"/>
      <c r="N6"/>
    </row>
    <row r="7" spans="1:16" ht="15" customHeight="1">
      <c r="A7" s="9">
        <v>40836</v>
      </c>
      <c r="B7" s="10">
        <f t="shared" si="3"/>
        <v>13</v>
      </c>
      <c r="C7" s="10">
        <v>5</v>
      </c>
      <c r="D7" s="10">
        <v>6.66</v>
      </c>
      <c r="E7" s="10">
        <v>1.33</v>
      </c>
      <c r="F7" s="10">
        <v>10956.4</v>
      </c>
      <c r="G7" s="10">
        <f t="shared" si="0"/>
        <v>197.70000000000073</v>
      </c>
      <c r="H7" s="11">
        <f t="shared" si="1"/>
        <v>1.3320000000000001</v>
      </c>
      <c r="I7" s="15" t="str">
        <f t="shared" si="2"/>
        <v>2011</v>
      </c>
      <c r="K7" s="33" t="s">
        <v>15</v>
      </c>
      <c r="L7" s="33" t="s">
        <v>16</v>
      </c>
      <c r="M7" s="27"/>
      <c r="N7"/>
    </row>
    <row r="8" spans="1:16" ht="15" customHeight="1">
      <c r="A8" s="9">
        <v>40849</v>
      </c>
      <c r="B8" s="10">
        <f t="shared" si="3"/>
        <v>12</v>
      </c>
      <c r="C8" s="10">
        <v>3.78</v>
      </c>
      <c r="D8" s="10">
        <v>5</v>
      </c>
      <c r="E8" s="10">
        <v>1.32</v>
      </c>
      <c r="F8" s="10">
        <v>11154.1</v>
      </c>
      <c r="G8" s="10">
        <f t="shared" si="0"/>
        <v>138.79999999999927</v>
      </c>
      <c r="H8" s="11">
        <f t="shared" si="1"/>
        <v>1.3227513227513228</v>
      </c>
      <c r="I8" s="15" t="str">
        <f t="shared" si="2"/>
        <v>2011</v>
      </c>
      <c r="K8" s="30">
        <f>D151*100/G151</f>
        <v>3.0582402932844523</v>
      </c>
      <c r="L8" s="30">
        <f>C151*100/G151</f>
        <v>2.4412597900349939</v>
      </c>
      <c r="N8"/>
    </row>
    <row r="9" spans="1:16" ht="15" customHeight="1">
      <c r="A9" s="9">
        <v>40861</v>
      </c>
      <c r="B9" s="10">
        <f t="shared" si="3"/>
        <v>15</v>
      </c>
      <c r="C9" s="10">
        <v>5</v>
      </c>
      <c r="D9" s="10">
        <v>5</v>
      </c>
      <c r="E9" s="10">
        <v>1.3</v>
      </c>
      <c r="F9" s="10">
        <v>11292.9</v>
      </c>
      <c r="G9" s="10">
        <f t="shared" si="0"/>
        <v>201.10000000000036</v>
      </c>
      <c r="H9" s="11">
        <f t="shared" si="1"/>
        <v>1</v>
      </c>
      <c r="I9" s="15" t="str">
        <f t="shared" si="2"/>
        <v>2011</v>
      </c>
      <c r="K9" s="27"/>
      <c r="L9" s="27"/>
    </row>
    <row r="10" spans="1:16" ht="15" customHeight="1">
      <c r="A10" s="9">
        <v>40876</v>
      </c>
      <c r="B10" s="10">
        <f t="shared" si="3"/>
        <v>15</v>
      </c>
      <c r="C10" s="10">
        <v>5</v>
      </c>
      <c r="D10" s="10">
        <v>6.47</v>
      </c>
      <c r="E10" s="10">
        <v>1.29</v>
      </c>
      <c r="F10" s="10">
        <v>11494</v>
      </c>
      <c r="G10" s="10">
        <f t="shared" si="0"/>
        <v>164.29999999999927</v>
      </c>
      <c r="H10" s="11">
        <f t="shared" si="1"/>
        <v>1.294</v>
      </c>
      <c r="I10" s="15" t="str">
        <f t="shared" si="2"/>
        <v>2011</v>
      </c>
      <c r="K10" s="38" t="s">
        <v>13</v>
      </c>
      <c r="L10" s="38"/>
      <c r="M10" s="34" t="s">
        <v>14</v>
      </c>
    </row>
    <row r="11" spans="1:16" ht="15" customHeight="1">
      <c r="A11" s="9">
        <v>40891</v>
      </c>
      <c r="B11" s="10">
        <f t="shared" si="3"/>
        <v>34</v>
      </c>
      <c r="C11" s="10">
        <v>10</v>
      </c>
      <c r="D11" s="10">
        <v>13.13</v>
      </c>
      <c r="E11" s="10">
        <v>1.31</v>
      </c>
      <c r="F11" s="10">
        <v>11658.3</v>
      </c>
      <c r="G11" s="10">
        <f t="shared" si="0"/>
        <v>361.70000000000073</v>
      </c>
      <c r="H11" s="11">
        <f t="shared" si="1"/>
        <v>1.3130000000000002</v>
      </c>
      <c r="I11" s="15" t="str">
        <f t="shared" si="2"/>
        <v>2011</v>
      </c>
      <c r="K11" s="31">
        <v>2011</v>
      </c>
      <c r="L11" s="31">
        <f xml:space="preserve"> SUMIF(Anyo,"2011",Kms_Recorridos)</f>
        <v>2274.2000000000007</v>
      </c>
      <c r="M11" s="32">
        <f t="shared" ref="M11:M20" si="4">L11/(365-104-22)</f>
        <v>9.5154811715481209</v>
      </c>
    </row>
    <row r="12" spans="1:16" ht="15" customHeight="1">
      <c r="A12" s="9">
        <v>40925</v>
      </c>
      <c r="B12" s="10">
        <f t="shared" si="3"/>
        <v>12</v>
      </c>
      <c r="C12" s="10">
        <v>5</v>
      </c>
      <c r="D12" s="10">
        <v>7</v>
      </c>
      <c r="E12" s="10">
        <v>1.4</v>
      </c>
      <c r="F12" s="10">
        <v>12020</v>
      </c>
      <c r="G12" s="10">
        <f t="shared" si="0"/>
        <v>206.70000000000073</v>
      </c>
      <c r="H12" s="11">
        <f t="shared" si="1"/>
        <v>1.4</v>
      </c>
      <c r="I12" s="15" t="str">
        <f t="shared" si="2"/>
        <v>2012</v>
      </c>
      <c r="K12" s="31">
        <v>2012</v>
      </c>
      <c r="L12" s="31">
        <f xml:space="preserve"> SUMIF(Anyo,"2012",Kms_Recorridos)</f>
        <v>2895.5</v>
      </c>
      <c r="M12" s="32">
        <f t="shared" si="4"/>
        <v>12.115062761506277</v>
      </c>
    </row>
    <row r="13" spans="1:16" ht="15" customHeight="1">
      <c r="A13" s="9">
        <v>40937</v>
      </c>
      <c r="B13" s="10">
        <f t="shared" si="3"/>
        <v>8</v>
      </c>
      <c r="C13" s="10">
        <v>5</v>
      </c>
      <c r="D13" s="10">
        <v>7.03</v>
      </c>
      <c r="E13" s="10">
        <v>1.405</v>
      </c>
      <c r="F13" s="10">
        <v>12226.7</v>
      </c>
      <c r="G13" s="10">
        <f t="shared" si="0"/>
        <v>148</v>
      </c>
      <c r="H13" s="11">
        <f t="shared" si="1"/>
        <v>1.4060000000000001</v>
      </c>
      <c r="I13" s="15" t="str">
        <f t="shared" si="2"/>
        <v>2012</v>
      </c>
      <c r="K13" s="31">
        <v>2013</v>
      </c>
      <c r="L13" s="31">
        <f xml:space="preserve"> SUMIF(Anyo,"2013",Kms_Recorridos)</f>
        <v>1084.5</v>
      </c>
      <c r="M13" s="32">
        <f t="shared" si="4"/>
        <v>4.53765690376569</v>
      </c>
    </row>
    <row r="14" spans="1:16" ht="15" customHeight="1">
      <c r="A14" s="9">
        <v>40945</v>
      </c>
      <c r="B14" s="10">
        <f t="shared" si="3"/>
        <v>11</v>
      </c>
      <c r="C14" s="10">
        <v>5</v>
      </c>
      <c r="D14" s="10">
        <v>7.03</v>
      </c>
      <c r="E14" s="10">
        <v>1.405</v>
      </c>
      <c r="F14" s="10">
        <v>12374.7</v>
      </c>
      <c r="G14" s="10">
        <f t="shared" si="0"/>
        <v>181.29999999999927</v>
      </c>
      <c r="H14" s="11">
        <f t="shared" si="1"/>
        <v>1.4060000000000001</v>
      </c>
      <c r="I14" s="15" t="str">
        <f t="shared" si="2"/>
        <v>2012</v>
      </c>
      <c r="K14" s="31">
        <v>2014</v>
      </c>
      <c r="L14" s="31">
        <v>1313</v>
      </c>
      <c r="M14" s="32">
        <f t="shared" si="4"/>
        <v>5.493723849372385</v>
      </c>
    </row>
    <row r="15" spans="1:16" ht="15" customHeight="1">
      <c r="A15" s="9">
        <v>40956</v>
      </c>
      <c r="B15" s="10">
        <f t="shared" si="3"/>
        <v>13</v>
      </c>
      <c r="C15" s="10">
        <v>5</v>
      </c>
      <c r="D15" s="10">
        <v>7.27</v>
      </c>
      <c r="E15" s="10">
        <v>1.454</v>
      </c>
      <c r="F15" s="10">
        <v>12556</v>
      </c>
      <c r="G15" s="10">
        <f t="shared" si="0"/>
        <v>218.39999999999964</v>
      </c>
      <c r="H15" s="11">
        <f t="shared" si="1"/>
        <v>1.454</v>
      </c>
      <c r="I15" s="15" t="str">
        <f t="shared" si="2"/>
        <v>2012</v>
      </c>
      <c r="K15" s="31">
        <v>2015</v>
      </c>
      <c r="L15" s="31">
        <v>1313</v>
      </c>
      <c r="M15" s="32">
        <f t="shared" si="4"/>
        <v>5.493723849372385</v>
      </c>
    </row>
    <row r="16" spans="1:16" ht="15" customHeight="1">
      <c r="A16" s="9">
        <v>40969</v>
      </c>
      <c r="B16" s="10">
        <f t="shared" si="3"/>
        <v>42</v>
      </c>
      <c r="C16" s="10">
        <v>10</v>
      </c>
      <c r="D16" s="10">
        <v>14.29</v>
      </c>
      <c r="E16" s="10">
        <v>1.4790000000000001</v>
      </c>
      <c r="F16" s="10">
        <v>12774.4</v>
      </c>
      <c r="G16" s="10">
        <f t="shared" si="0"/>
        <v>370.80000000000109</v>
      </c>
      <c r="H16" s="11">
        <f t="shared" si="1"/>
        <v>1.4289999999999998</v>
      </c>
      <c r="I16" s="15" t="str">
        <f t="shared" si="2"/>
        <v>2012</v>
      </c>
      <c r="K16" s="31">
        <v>2016</v>
      </c>
      <c r="L16" s="31">
        <f xml:space="preserve"> SUMIF(Anyo,"2016",Kms_Recorridos)</f>
        <v>3120</v>
      </c>
      <c r="M16" s="32">
        <f t="shared" si="4"/>
        <v>13.05439330543933</v>
      </c>
    </row>
    <row r="17" spans="1:14" ht="15" customHeight="1">
      <c r="A17" s="9">
        <v>41011</v>
      </c>
      <c r="B17" s="10">
        <f t="shared" si="3"/>
        <v>32</v>
      </c>
      <c r="C17" s="10">
        <v>10</v>
      </c>
      <c r="D17" s="10">
        <v>15.15</v>
      </c>
      <c r="E17" s="10">
        <v>1.5149999999999999</v>
      </c>
      <c r="F17" s="10">
        <v>13145.2</v>
      </c>
      <c r="G17" s="10">
        <f t="shared" si="0"/>
        <v>309.19999999999891</v>
      </c>
      <c r="H17" s="11">
        <f t="shared" si="1"/>
        <v>1.5150000000000001</v>
      </c>
      <c r="I17" s="15" t="str">
        <f t="shared" si="2"/>
        <v>2012</v>
      </c>
      <c r="K17" s="31">
        <v>2017</v>
      </c>
      <c r="L17" s="31">
        <f xml:space="preserve"> SUMIF(Anyo,"2017",Kms_Recorridos)</f>
        <v>4243</v>
      </c>
      <c r="M17" s="32">
        <f t="shared" si="4"/>
        <v>17.753138075313807</v>
      </c>
    </row>
    <row r="18" spans="1:14" ht="15" customHeight="1">
      <c r="A18" s="9">
        <v>41043</v>
      </c>
      <c r="B18" s="10">
        <f t="shared" si="3"/>
        <v>15</v>
      </c>
      <c r="C18" s="10">
        <v>5</v>
      </c>
      <c r="D18" s="10">
        <v>7.12</v>
      </c>
      <c r="E18" s="10">
        <v>1.423</v>
      </c>
      <c r="F18" s="10">
        <v>13454.4</v>
      </c>
      <c r="G18" s="10">
        <f t="shared" si="0"/>
        <v>228.89999999999964</v>
      </c>
      <c r="H18" s="11">
        <f t="shared" si="1"/>
        <v>1.4239999999999999</v>
      </c>
      <c r="I18" s="15" t="str">
        <f t="shared" si="2"/>
        <v>2012</v>
      </c>
      <c r="K18" s="31">
        <v>2018</v>
      </c>
      <c r="L18" s="31">
        <f xml:space="preserve"> SUMIF(Anyo,"2018",Kms_Recorridos)</f>
        <v>4070</v>
      </c>
      <c r="M18" s="32">
        <f t="shared" si="4"/>
        <v>17.02928870292887</v>
      </c>
    </row>
    <row r="19" spans="1:14" ht="15" customHeight="1">
      <c r="A19" s="9">
        <v>41058</v>
      </c>
      <c r="B19" s="10">
        <f t="shared" si="3"/>
        <v>10</v>
      </c>
      <c r="C19" s="10">
        <v>4</v>
      </c>
      <c r="D19" s="10">
        <v>5.72</v>
      </c>
      <c r="E19" s="10">
        <v>1.431</v>
      </c>
      <c r="F19" s="10">
        <v>13683.3</v>
      </c>
      <c r="G19" s="10">
        <f t="shared" si="0"/>
        <v>156.40000000000146</v>
      </c>
      <c r="H19" s="11">
        <f t="shared" si="1"/>
        <v>1.43</v>
      </c>
      <c r="I19" s="15" t="str">
        <f t="shared" si="2"/>
        <v>2012</v>
      </c>
      <c r="K19" s="31">
        <v>2019</v>
      </c>
      <c r="L19" s="31">
        <f xml:space="preserve"> SUMIF(Anyo,"2019",Kms_Recorridos)</f>
        <v>1401.4000000000015</v>
      </c>
      <c r="M19" s="32">
        <f t="shared" si="4"/>
        <v>5.8635983263598384</v>
      </c>
    </row>
    <row r="20" spans="1:14" ht="15" customHeight="1">
      <c r="A20" s="9">
        <v>41068</v>
      </c>
      <c r="B20" s="10">
        <f t="shared" si="3"/>
        <v>24</v>
      </c>
      <c r="C20" s="10">
        <v>8</v>
      </c>
      <c r="D20" s="10">
        <v>11.16</v>
      </c>
      <c r="E20" s="10">
        <v>1.39</v>
      </c>
      <c r="F20" s="10">
        <v>13839.7</v>
      </c>
      <c r="G20" s="10">
        <f t="shared" si="0"/>
        <v>321.09999999999854</v>
      </c>
      <c r="H20" s="11">
        <f t="shared" si="1"/>
        <v>1.395</v>
      </c>
      <c r="I20" s="15" t="str">
        <f t="shared" si="2"/>
        <v>2012</v>
      </c>
      <c r="K20" s="31">
        <v>2020</v>
      </c>
      <c r="L20" s="31">
        <f xml:space="preserve"> SUMIF(Anyo,"2020",Kms_Recorridos)</f>
        <v>0</v>
      </c>
      <c r="M20" s="32">
        <f t="shared" si="4"/>
        <v>0</v>
      </c>
    </row>
    <row r="21" spans="1:14" ht="15" customHeight="1">
      <c r="A21" s="9">
        <v>41092</v>
      </c>
      <c r="B21" s="10">
        <f t="shared" si="3"/>
        <v>320</v>
      </c>
      <c r="C21" s="10">
        <v>10</v>
      </c>
      <c r="D21" s="10">
        <v>13.88</v>
      </c>
      <c r="E21" s="10">
        <v>1.39</v>
      </c>
      <c r="F21" s="10">
        <v>14160.8</v>
      </c>
      <c r="G21" s="10">
        <f t="shared" si="0"/>
        <v>754.70000000000073</v>
      </c>
      <c r="H21" s="11">
        <f t="shared" si="1"/>
        <v>1.3880000000000001</v>
      </c>
      <c r="I21" s="15" t="str">
        <f t="shared" si="2"/>
        <v>2012</v>
      </c>
    </row>
    <row r="22" spans="1:14" ht="15" customHeight="1">
      <c r="A22" s="9">
        <v>41412</v>
      </c>
      <c r="B22" s="10">
        <f t="shared" si="3"/>
        <v>9</v>
      </c>
      <c r="C22" s="10">
        <v>5</v>
      </c>
      <c r="D22" s="10">
        <v>7.18</v>
      </c>
      <c r="E22" s="10">
        <v>1.44</v>
      </c>
      <c r="F22" s="10">
        <v>14915.5</v>
      </c>
      <c r="G22" s="10">
        <f t="shared" si="0"/>
        <v>296.5</v>
      </c>
      <c r="H22" s="11">
        <f t="shared" si="1"/>
        <v>1.4359999999999999</v>
      </c>
      <c r="I22" s="15" t="str">
        <f t="shared" si="2"/>
        <v>2013</v>
      </c>
    </row>
    <row r="23" spans="1:14" ht="15" customHeight="1">
      <c r="A23" s="9">
        <v>41421</v>
      </c>
      <c r="B23" s="10">
        <f t="shared" si="3"/>
        <v>3</v>
      </c>
      <c r="C23" s="10">
        <v>2.65</v>
      </c>
      <c r="D23" s="10">
        <v>4</v>
      </c>
      <c r="E23" s="10">
        <v>1.49</v>
      </c>
      <c r="F23" s="10">
        <v>15212</v>
      </c>
      <c r="G23" s="10">
        <f t="shared" si="0"/>
        <v>48</v>
      </c>
      <c r="H23" s="11">
        <f t="shared" si="1"/>
        <v>1.5094339622641511</v>
      </c>
      <c r="I23" s="15" t="str">
        <f t="shared" si="2"/>
        <v>2013</v>
      </c>
    </row>
    <row r="24" spans="1:14" ht="15" customHeight="1">
      <c r="A24" s="9">
        <v>41424</v>
      </c>
      <c r="B24" s="10">
        <f t="shared" si="3"/>
        <v>5</v>
      </c>
      <c r="C24" s="10">
        <v>3.34</v>
      </c>
      <c r="D24" s="10">
        <v>5</v>
      </c>
      <c r="E24" s="10">
        <v>1.5</v>
      </c>
      <c r="F24" s="10">
        <v>15260</v>
      </c>
      <c r="G24" s="10">
        <f t="shared" si="0"/>
        <v>64.399999999999636</v>
      </c>
      <c r="H24" s="11">
        <f t="shared" si="1"/>
        <v>1.4970059880239521</v>
      </c>
      <c r="I24" s="15" t="str">
        <f t="shared" si="2"/>
        <v>2013</v>
      </c>
    </row>
    <row r="25" spans="1:14" ht="15" customHeight="1">
      <c r="A25" s="9">
        <v>41429</v>
      </c>
      <c r="B25" s="10">
        <f t="shared" si="3"/>
        <v>56</v>
      </c>
      <c r="C25" s="10">
        <v>6.76</v>
      </c>
      <c r="D25" s="10">
        <v>10</v>
      </c>
      <c r="E25" s="10">
        <v>1.47</v>
      </c>
      <c r="F25" s="10">
        <v>15324.4</v>
      </c>
      <c r="G25" s="10">
        <f t="shared" si="0"/>
        <v>222.80000000000109</v>
      </c>
      <c r="H25" s="11">
        <f t="shared" si="1"/>
        <v>1.4792899408284024</v>
      </c>
      <c r="I25" s="15" t="str">
        <f t="shared" si="2"/>
        <v>2013</v>
      </c>
    </row>
    <row r="26" spans="1:14" ht="15" customHeight="1">
      <c r="A26" s="9">
        <v>41485</v>
      </c>
      <c r="B26" s="10">
        <f t="shared" si="3"/>
        <v>61</v>
      </c>
      <c r="C26" s="10">
        <v>3.32</v>
      </c>
      <c r="D26" s="10">
        <v>5</v>
      </c>
      <c r="E26" s="10">
        <v>1.5</v>
      </c>
      <c r="F26" s="10">
        <v>15547.2</v>
      </c>
      <c r="G26" s="10">
        <f t="shared" si="0"/>
        <v>172.19999999999891</v>
      </c>
      <c r="H26" s="11">
        <f t="shared" si="1"/>
        <v>1.5060240963855422</v>
      </c>
      <c r="I26" s="15" t="str">
        <f t="shared" si="2"/>
        <v>2013</v>
      </c>
    </row>
    <row r="27" spans="1:14" ht="15" customHeight="1">
      <c r="A27" s="9">
        <v>41546</v>
      </c>
      <c r="B27" s="10">
        <f t="shared" si="3"/>
        <v>458</v>
      </c>
      <c r="C27" s="10">
        <v>5</v>
      </c>
      <c r="D27" s="10">
        <v>7.2</v>
      </c>
      <c r="E27" s="10">
        <v>1.5</v>
      </c>
      <c r="F27" s="10">
        <v>15719.4</v>
      </c>
      <c r="G27" s="10">
        <f t="shared" si="0"/>
        <v>280.60000000000036</v>
      </c>
      <c r="H27" s="11">
        <f t="shared" si="1"/>
        <v>1.44</v>
      </c>
      <c r="I27" s="15" t="str">
        <f t="shared" si="2"/>
        <v>2013</v>
      </c>
    </row>
    <row r="28" spans="1:14" ht="15" customHeight="1">
      <c r="A28" s="12">
        <v>42004</v>
      </c>
      <c r="B28" s="10">
        <f t="shared" si="3"/>
        <v>365</v>
      </c>
      <c r="C28" s="13">
        <v>18.73</v>
      </c>
      <c r="D28" s="13">
        <v>28.094999999999999</v>
      </c>
      <c r="E28" s="13">
        <v>1.5</v>
      </c>
      <c r="F28" s="13">
        <v>16000</v>
      </c>
      <c r="G28" s="13">
        <f t="shared" si="0"/>
        <v>1500</v>
      </c>
      <c r="H28" s="14">
        <f t="shared" si="1"/>
        <v>1.5</v>
      </c>
      <c r="I28" s="15" t="str">
        <f t="shared" si="2"/>
        <v>2014</v>
      </c>
      <c r="K28" s="39" t="s">
        <v>59</v>
      </c>
      <c r="L28" s="39"/>
      <c r="M28" s="39"/>
    </row>
    <row r="29" spans="1:14" ht="15" customHeight="1">
      <c r="A29" s="12">
        <v>42369</v>
      </c>
      <c r="B29" s="10">
        <f t="shared" si="3"/>
        <v>151</v>
      </c>
      <c r="C29" s="13">
        <v>18.73</v>
      </c>
      <c r="D29" s="13">
        <v>28.094999999999999</v>
      </c>
      <c r="E29" s="13">
        <v>1.5</v>
      </c>
      <c r="F29" s="13">
        <v>17500</v>
      </c>
      <c r="G29" s="13">
        <f t="shared" si="0"/>
        <v>1015</v>
      </c>
      <c r="H29" s="14">
        <f t="shared" si="1"/>
        <v>1.5</v>
      </c>
      <c r="I29" s="24" t="str">
        <f t="shared" si="2"/>
        <v>2015</v>
      </c>
      <c r="K29" s="39"/>
      <c r="L29" s="39"/>
      <c r="M29" s="39"/>
    </row>
    <row r="30" spans="1:14" ht="15" customHeight="1">
      <c r="A30" s="9">
        <v>42520</v>
      </c>
      <c r="B30" s="10">
        <f t="shared" si="3"/>
        <v>16</v>
      </c>
      <c r="C30" s="10">
        <v>8.3000000000000007</v>
      </c>
      <c r="D30" s="10">
        <v>10</v>
      </c>
      <c r="E30" s="10">
        <v>1.2050000000000001</v>
      </c>
      <c r="F30" s="10">
        <v>18515</v>
      </c>
      <c r="G30" s="10">
        <f t="shared" si="0"/>
        <v>307</v>
      </c>
      <c r="H30" s="11">
        <f t="shared" si="1"/>
        <v>1.2048192771084336</v>
      </c>
      <c r="I30" s="15" t="str">
        <f t="shared" si="2"/>
        <v>2016</v>
      </c>
    </row>
    <row r="31" spans="1:14" ht="15" customHeight="1">
      <c r="A31" s="9">
        <v>42536</v>
      </c>
      <c r="B31" s="10">
        <f t="shared" si="3"/>
        <v>19</v>
      </c>
      <c r="C31" s="10">
        <v>8.3000000000000007</v>
      </c>
      <c r="D31" s="10">
        <v>10</v>
      </c>
      <c r="E31" s="10">
        <v>1.2050000000000001</v>
      </c>
      <c r="F31" s="10">
        <v>18822</v>
      </c>
      <c r="G31" s="10">
        <f t="shared" si="0"/>
        <v>628</v>
      </c>
      <c r="H31" s="11">
        <f t="shared" si="1"/>
        <v>1.2048192771084336</v>
      </c>
      <c r="I31" s="15" t="str">
        <f t="shared" si="2"/>
        <v>2016</v>
      </c>
      <c r="K31"/>
      <c r="L31"/>
      <c r="M31"/>
      <c r="N31"/>
    </row>
    <row r="32" spans="1:14" ht="15" customHeight="1">
      <c r="A32" s="9">
        <v>42555</v>
      </c>
      <c r="B32" s="10">
        <f t="shared" si="3"/>
        <v>58</v>
      </c>
      <c r="C32" s="10">
        <v>9.7200000000000006</v>
      </c>
      <c r="D32" s="10">
        <v>11.34</v>
      </c>
      <c r="E32" s="10">
        <v>1.21</v>
      </c>
      <c r="F32" s="10">
        <v>19450</v>
      </c>
      <c r="G32" s="10">
        <f t="shared" si="0"/>
        <v>324</v>
      </c>
      <c r="H32" s="11">
        <f t="shared" si="1"/>
        <v>1.1666666666666665</v>
      </c>
      <c r="I32" s="15" t="str">
        <f t="shared" si="2"/>
        <v>2016</v>
      </c>
      <c r="K32"/>
      <c r="L32"/>
      <c r="M32"/>
      <c r="N32"/>
    </row>
    <row r="33" spans="1:14" ht="15" customHeight="1">
      <c r="A33" s="9">
        <v>42613</v>
      </c>
      <c r="B33" s="10">
        <f t="shared" si="3"/>
        <v>9</v>
      </c>
      <c r="C33" s="10">
        <v>4.28</v>
      </c>
      <c r="D33" s="10">
        <v>4.79</v>
      </c>
      <c r="E33" s="10">
        <v>1.69</v>
      </c>
      <c r="F33" s="10">
        <v>19774</v>
      </c>
      <c r="G33" s="10">
        <f t="shared" si="0"/>
        <v>161</v>
      </c>
      <c r="H33" s="11">
        <f t="shared" si="1"/>
        <v>1.1191588785046729</v>
      </c>
      <c r="I33" s="15" t="str">
        <f t="shared" si="2"/>
        <v>2016</v>
      </c>
      <c r="N33"/>
    </row>
    <row r="34" spans="1:14" ht="15" customHeight="1">
      <c r="A34" s="9">
        <v>42622</v>
      </c>
      <c r="B34" s="10">
        <f t="shared" si="3"/>
        <v>21</v>
      </c>
      <c r="C34" s="10">
        <v>8.5500000000000007</v>
      </c>
      <c r="D34" s="10">
        <v>10</v>
      </c>
      <c r="E34" s="10">
        <v>1.1599999999999999</v>
      </c>
      <c r="F34" s="10">
        <v>19935</v>
      </c>
      <c r="G34" s="10">
        <f t="shared" si="0"/>
        <v>336</v>
      </c>
      <c r="H34" s="11">
        <f t="shared" si="1"/>
        <v>1.1695906432748537</v>
      </c>
      <c r="I34" s="15" t="str">
        <f t="shared" ref="I34:I65" si="5">MID(TEXT(A34,"aaaa/mm/dd"),1,4)</f>
        <v>2016</v>
      </c>
    </row>
    <row r="35" spans="1:14" ht="15" customHeight="1">
      <c r="A35" s="9">
        <v>42643</v>
      </c>
      <c r="B35" s="10">
        <f t="shared" si="3"/>
        <v>24</v>
      </c>
      <c r="C35" s="10">
        <v>8.6999999999999993</v>
      </c>
      <c r="D35" s="10">
        <v>10</v>
      </c>
      <c r="E35" s="10">
        <v>1.1499999999999999</v>
      </c>
      <c r="F35" s="10">
        <v>20271</v>
      </c>
      <c r="G35" s="10">
        <f t="shared" ref="G35:G66" si="6">IF(F36&lt;&gt;"",F36-F35,"")</f>
        <v>340</v>
      </c>
      <c r="H35" s="11">
        <f t="shared" si="1"/>
        <v>1.149425287356322</v>
      </c>
      <c r="I35" s="15" t="str">
        <f t="shared" si="5"/>
        <v>2016</v>
      </c>
    </row>
    <row r="36" spans="1:14" ht="15" customHeight="1">
      <c r="A36" s="9">
        <v>42667</v>
      </c>
      <c r="B36" s="10">
        <f t="shared" si="3"/>
        <v>10</v>
      </c>
      <c r="C36" s="10">
        <v>4.72</v>
      </c>
      <c r="D36" s="10">
        <v>5</v>
      </c>
      <c r="E36" s="10">
        <v>1.06</v>
      </c>
      <c r="F36" s="10">
        <v>20611</v>
      </c>
      <c r="G36" s="10">
        <f t="shared" si="6"/>
        <v>173</v>
      </c>
      <c r="H36" s="11">
        <f t="shared" si="1"/>
        <v>1.0593220338983051</v>
      </c>
      <c r="I36" s="15" t="str">
        <f t="shared" si="5"/>
        <v>2016</v>
      </c>
    </row>
    <row r="37" spans="1:14" ht="15" customHeight="1">
      <c r="A37" s="9">
        <v>42677</v>
      </c>
      <c r="B37" s="10">
        <f t="shared" si="3"/>
        <v>25</v>
      </c>
      <c r="C37" s="10">
        <v>9.27</v>
      </c>
      <c r="D37" s="10">
        <v>10</v>
      </c>
      <c r="E37" s="10">
        <v>1.08</v>
      </c>
      <c r="F37" s="10">
        <v>20784</v>
      </c>
      <c r="G37" s="10">
        <f t="shared" si="6"/>
        <v>366</v>
      </c>
      <c r="H37" s="11">
        <f t="shared" si="1"/>
        <v>1.0787486515641855</v>
      </c>
      <c r="I37" s="15" t="str">
        <f t="shared" si="5"/>
        <v>2016</v>
      </c>
    </row>
    <row r="38" spans="1:14" ht="15" customHeight="1">
      <c r="A38" s="9">
        <v>42702</v>
      </c>
      <c r="B38" s="10">
        <f t="shared" si="3"/>
        <v>14</v>
      </c>
      <c r="C38" s="10">
        <v>4.55</v>
      </c>
      <c r="D38" s="10">
        <v>5</v>
      </c>
      <c r="E38" s="10">
        <v>1.1000000000000001</v>
      </c>
      <c r="F38" s="10">
        <v>21150</v>
      </c>
      <c r="G38" s="10">
        <f t="shared" si="6"/>
        <v>155</v>
      </c>
      <c r="H38" s="11">
        <f t="shared" si="1"/>
        <v>1.098901098901099</v>
      </c>
      <c r="I38" s="15" t="str">
        <f t="shared" si="5"/>
        <v>2016</v>
      </c>
    </row>
    <row r="39" spans="1:14" ht="15" customHeight="1">
      <c r="A39" s="9">
        <v>42716</v>
      </c>
      <c r="B39" s="10">
        <f t="shared" si="3"/>
        <v>31</v>
      </c>
      <c r="C39" s="10">
        <v>8.94</v>
      </c>
      <c r="D39" s="10">
        <v>10</v>
      </c>
      <c r="E39" s="10">
        <v>1.1200000000000001</v>
      </c>
      <c r="F39" s="10">
        <v>21305</v>
      </c>
      <c r="G39" s="10">
        <f t="shared" si="6"/>
        <v>330</v>
      </c>
      <c r="H39" s="11">
        <f t="shared" si="1"/>
        <v>1.1185682326621924</v>
      </c>
      <c r="I39" s="15" t="str">
        <f t="shared" si="5"/>
        <v>2016</v>
      </c>
    </row>
    <row r="40" spans="1:14" ht="15" customHeight="1">
      <c r="A40" s="9">
        <v>42747</v>
      </c>
      <c r="B40" s="10">
        <f t="shared" si="3"/>
        <v>26</v>
      </c>
      <c r="C40" s="10">
        <v>8.6300000000000008</v>
      </c>
      <c r="D40" s="10">
        <v>10</v>
      </c>
      <c r="E40" s="10">
        <v>1.1599999999999999</v>
      </c>
      <c r="F40" s="10">
        <v>21635</v>
      </c>
      <c r="G40" s="10">
        <f t="shared" si="6"/>
        <v>329</v>
      </c>
      <c r="H40" s="11">
        <f t="shared" si="1"/>
        <v>1.1587485515643103</v>
      </c>
      <c r="I40" s="15" t="str">
        <f t="shared" si="5"/>
        <v>2017</v>
      </c>
    </row>
    <row r="41" spans="1:14" ht="15" customHeight="1">
      <c r="A41" s="9">
        <v>42773</v>
      </c>
      <c r="B41" s="10">
        <f t="shared" si="3"/>
        <v>24</v>
      </c>
      <c r="C41" s="10">
        <v>8.6300000000000008</v>
      </c>
      <c r="D41" s="10">
        <v>10</v>
      </c>
      <c r="E41" s="10">
        <v>1.1599999999999999</v>
      </c>
      <c r="F41" s="10">
        <v>21964</v>
      </c>
      <c r="G41" s="10">
        <f t="shared" si="6"/>
        <v>364</v>
      </c>
      <c r="H41" s="11">
        <f t="shared" si="1"/>
        <v>1.1587485515643103</v>
      </c>
      <c r="I41" s="15" t="str">
        <f t="shared" si="5"/>
        <v>2017</v>
      </c>
    </row>
    <row r="42" spans="1:14" ht="15" customHeight="1">
      <c r="A42" s="9">
        <v>42797</v>
      </c>
      <c r="B42" s="10">
        <f t="shared" si="3"/>
        <v>20</v>
      </c>
      <c r="C42" s="10">
        <v>8.5500000000000007</v>
      </c>
      <c r="D42" s="10">
        <v>10</v>
      </c>
      <c r="E42" s="10">
        <v>1.17</v>
      </c>
      <c r="F42" s="10">
        <v>22328</v>
      </c>
      <c r="G42" s="10">
        <f t="shared" si="6"/>
        <v>302</v>
      </c>
      <c r="H42" s="11">
        <f t="shared" si="1"/>
        <v>1.1695906432748537</v>
      </c>
      <c r="I42" s="15" t="str">
        <f t="shared" si="5"/>
        <v>2017</v>
      </c>
    </row>
    <row r="43" spans="1:14" ht="15" customHeight="1">
      <c r="A43" s="9">
        <v>42817</v>
      </c>
      <c r="B43" s="10">
        <f t="shared" si="3"/>
        <v>11</v>
      </c>
      <c r="C43" s="10">
        <v>4.88</v>
      </c>
      <c r="D43" s="10">
        <v>5</v>
      </c>
      <c r="E43" s="10">
        <v>1.17</v>
      </c>
      <c r="F43" s="10">
        <v>22630</v>
      </c>
      <c r="G43" s="10">
        <f t="shared" si="6"/>
        <v>205.5</v>
      </c>
      <c r="H43" s="11">
        <f t="shared" si="1"/>
        <v>1.0245901639344261</v>
      </c>
      <c r="I43" s="15" t="str">
        <f t="shared" si="5"/>
        <v>2017</v>
      </c>
    </row>
    <row r="44" spans="1:14" ht="15" customHeight="1">
      <c r="A44" s="9">
        <v>42828</v>
      </c>
      <c r="B44" s="10">
        <f t="shared" si="3"/>
        <v>17</v>
      </c>
      <c r="C44" s="10">
        <v>4.3899999999999997</v>
      </c>
      <c r="D44" s="10">
        <v>5</v>
      </c>
      <c r="E44" s="10">
        <v>1.1399999999999999</v>
      </c>
      <c r="F44" s="10">
        <v>22835.5</v>
      </c>
      <c r="G44" s="10">
        <f t="shared" si="6"/>
        <v>164.5</v>
      </c>
      <c r="H44" s="11">
        <f t="shared" si="1"/>
        <v>1.1389521640091116</v>
      </c>
      <c r="I44" s="15" t="str">
        <f t="shared" si="5"/>
        <v>2017</v>
      </c>
    </row>
    <row r="45" spans="1:14" ht="15" customHeight="1">
      <c r="A45" s="9">
        <v>42845</v>
      </c>
      <c r="B45" s="10">
        <f t="shared" si="3"/>
        <v>13</v>
      </c>
      <c r="C45" s="10">
        <v>4.13</v>
      </c>
      <c r="D45" s="10">
        <v>5</v>
      </c>
      <c r="E45" s="10">
        <v>1.17</v>
      </c>
      <c r="F45" s="10">
        <v>23000</v>
      </c>
      <c r="G45" s="10">
        <f t="shared" si="6"/>
        <v>166</v>
      </c>
      <c r="H45" s="11">
        <f t="shared" si="1"/>
        <v>1.2106537530266344</v>
      </c>
      <c r="I45" s="15" t="str">
        <f t="shared" si="5"/>
        <v>2017</v>
      </c>
    </row>
    <row r="46" spans="1:14" ht="15" customHeight="1">
      <c r="A46" s="9">
        <v>42858</v>
      </c>
      <c r="B46" s="10">
        <f t="shared" si="3"/>
        <v>24</v>
      </c>
      <c r="C46" s="10">
        <v>8.94</v>
      </c>
      <c r="D46" s="10">
        <v>10</v>
      </c>
      <c r="E46" s="10">
        <v>1.1200000000000001</v>
      </c>
      <c r="F46" s="10">
        <v>23166</v>
      </c>
      <c r="G46" s="10">
        <f t="shared" si="6"/>
        <v>373</v>
      </c>
      <c r="H46" s="11">
        <f t="shared" si="1"/>
        <v>1.1185682326621924</v>
      </c>
      <c r="I46" s="15" t="str">
        <f t="shared" si="5"/>
        <v>2017</v>
      </c>
    </row>
    <row r="47" spans="1:14" ht="15" customHeight="1">
      <c r="A47" s="9">
        <v>42882</v>
      </c>
      <c r="B47" s="10">
        <f t="shared" si="3"/>
        <v>9</v>
      </c>
      <c r="C47" s="10">
        <v>4</v>
      </c>
      <c r="D47" s="10">
        <v>5</v>
      </c>
      <c r="E47" s="10">
        <v>1.25</v>
      </c>
      <c r="F47" s="10">
        <v>23539</v>
      </c>
      <c r="G47" s="10">
        <f t="shared" si="6"/>
        <v>157</v>
      </c>
      <c r="H47" s="11">
        <f t="shared" si="1"/>
        <v>1.25</v>
      </c>
      <c r="I47" s="15" t="str">
        <f t="shared" si="5"/>
        <v>2017</v>
      </c>
    </row>
    <row r="48" spans="1:14" ht="15" customHeight="1">
      <c r="A48" s="9">
        <v>42891</v>
      </c>
      <c r="B48" s="10">
        <f t="shared" si="3"/>
        <v>23</v>
      </c>
      <c r="C48" s="10">
        <v>9.18</v>
      </c>
      <c r="D48" s="10">
        <v>10</v>
      </c>
      <c r="E48" s="10">
        <v>1.0900000000000001</v>
      </c>
      <c r="F48" s="10">
        <v>23696</v>
      </c>
      <c r="G48" s="10">
        <f t="shared" si="6"/>
        <v>343</v>
      </c>
      <c r="H48" s="11">
        <f t="shared" si="1"/>
        <v>1.0893246187363834</v>
      </c>
      <c r="I48" s="15" t="str">
        <f t="shared" si="5"/>
        <v>2017</v>
      </c>
    </row>
    <row r="49" spans="1:9" ht="15" customHeight="1">
      <c r="A49" s="9">
        <v>42914</v>
      </c>
      <c r="B49" s="10">
        <f t="shared" si="3"/>
        <v>17</v>
      </c>
      <c r="C49" s="10">
        <v>4.6399999999999997</v>
      </c>
      <c r="D49" s="10">
        <v>5</v>
      </c>
      <c r="E49" s="10">
        <v>1.07</v>
      </c>
      <c r="F49" s="10">
        <v>24039</v>
      </c>
      <c r="G49" s="10">
        <f t="shared" si="6"/>
        <v>179.70000000000073</v>
      </c>
      <c r="H49" s="11">
        <f t="shared" si="1"/>
        <v>1.0775862068965518</v>
      </c>
      <c r="I49" s="15" t="str">
        <f t="shared" si="5"/>
        <v>2017</v>
      </c>
    </row>
    <row r="50" spans="1:9" ht="15" customHeight="1">
      <c r="A50" s="9">
        <v>42931</v>
      </c>
      <c r="B50" s="10">
        <f t="shared" si="3"/>
        <v>65</v>
      </c>
      <c r="C50" s="10">
        <v>9.2899999999999991</v>
      </c>
      <c r="D50" s="10">
        <v>10</v>
      </c>
      <c r="E50" s="10">
        <v>1.07</v>
      </c>
      <c r="F50" s="10">
        <v>24218.7</v>
      </c>
      <c r="G50" s="10">
        <f t="shared" si="6"/>
        <v>354.73999999999796</v>
      </c>
      <c r="H50" s="11">
        <f t="shared" si="1"/>
        <v>1.0764262648008613</v>
      </c>
      <c r="I50" s="15" t="str">
        <f t="shared" si="5"/>
        <v>2017</v>
      </c>
    </row>
    <row r="51" spans="1:9" ht="15" customHeight="1">
      <c r="A51" s="9">
        <v>42996</v>
      </c>
      <c r="B51" s="10">
        <f t="shared" si="3"/>
        <v>29</v>
      </c>
      <c r="C51" s="10">
        <v>9.0299999999999994</v>
      </c>
      <c r="D51" s="10">
        <v>10</v>
      </c>
      <c r="E51" s="10">
        <v>1.1100000000000001</v>
      </c>
      <c r="F51" s="10">
        <v>24573.439999999999</v>
      </c>
      <c r="G51" s="10">
        <f t="shared" si="6"/>
        <v>330.56000000000131</v>
      </c>
      <c r="H51" s="11">
        <f t="shared" si="1"/>
        <v>1.1074197120708749</v>
      </c>
      <c r="I51" s="15" t="str">
        <f t="shared" si="5"/>
        <v>2017</v>
      </c>
    </row>
    <row r="52" spans="1:9" ht="15" customHeight="1">
      <c r="A52" s="9">
        <v>43025</v>
      </c>
      <c r="B52" s="10">
        <f t="shared" si="3"/>
        <v>24</v>
      </c>
      <c r="C52" s="10">
        <v>9.1999999999999993</v>
      </c>
      <c r="D52" s="10">
        <v>10</v>
      </c>
      <c r="E52" s="10">
        <v>1.0900000000000001</v>
      </c>
      <c r="F52" s="10">
        <v>24904</v>
      </c>
      <c r="G52" s="10">
        <f t="shared" si="6"/>
        <v>358</v>
      </c>
      <c r="H52" s="11">
        <f t="shared" si="1"/>
        <v>1.0869565217391306</v>
      </c>
      <c r="I52" s="15" t="str">
        <f t="shared" si="5"/>
        <v>2017</v>
      </c>
    </row>
    <row r="53" spans="1:9" ht="15" customHeight="1">
      <c r="A53" s="9">
        <v>43049</v>
      </c>
      <c r="B53" s="10">
        <f t="shared" si="3"/>
        <v>18</v>
      </c>
      <c r="C53" s="10">
        <v>8.8800000000000008</v>
      </c>
      <c r="D53" s="10">
        <v>10</v>
      </c>
      <c r="E53" s="10">
        <v>1.1299999999999999</v>
      </c>
      <c r="F53" s="10">
        <v>25262</v>
      </c>
      <c r="G53" s="10">
        <f t="shared" si="6"/>
        <v>311</v>
      </c>
      <c r="H53" s="11">
        <f t="shared" si="1"/>
        <v>1.1261261261261259</v>
      </c>
      <c r="I53" s="15" t="str">
        <f t="shared" si="5"/>
        <v>2017</v>
      </c>
    </row>
    <row r="54" spans="1:9" ht="15" customHeight="1">
      <c r="A54" s="9">
        <v>43067</v>
      </c>
      <c r="B54" s="10">
        <f t="shared" si="3"/>
        <v>21</v>
      </c>
      <c r="C54" s="10">
        <v>4.3600000000000003</v>
      </c>
      <c r="D54" s="10">
        <v>5</v>
      </c>
      <c r="E54" s="10">
        <v>1.1399999999999999</v>
      </c>
      <c r="F54" s="10">
        <v>25573</v>
      </c>
      <c r="G54" s="10">
        <f t="shared" si="6"/>
        <v>139.59999999999854</v>
      </c>
      <c r="H54" s="11">
        <f t="shared" si="1"/>
        <v>1.1467889908256881</v>
      </c>
      <c r="I54" s="15" t="str">
        <f t="shared" si="5"/>
        <v>2017</v>
      </c>
    </row>
    <row r="55" spans="1:9" ht="15" customHeight="1">
      <c r="A55" s="9">
        <v>43088</v>
      </c>
      <c r="B55" s="10">
        <f t="shared" si="3"/>
        <v>17</v>
      </c>
      <c r="C55" s="10">
        <v>4.32</v>
      </c>
      <c r="D55" s="10">
        <v>5</v>
      </c>
      <c r="E55" s="10">
        <v>1.1499999999999999</v>
      </c>
      <c r="F55" s="10">
        <v>25712.6</v>
      </c>
      <c r="G55" s="10">
        <f t="shared" si="6"/>
        <v>165.40000000000146</v>
      </c>
      <c r="H55" s="11">
        <f t="shared" si="1"/>
        <v>1.1574074074074074</v>
      </c>
      <c r="I55" s="15" t="str">
        <f t="shared" si="5"/>
        <v>2017</v>
      </c>
    </row>
    <row r="56" spans="1:9" ht="15" customHeight="1">
      <c r="A56" s="9">
        <v>43105</v>
      </c>
      <c r="B56" s="10">
        <f t="shared" si="3"/>
        <v>66</v>
      </c>
      <c r="C56" s="10">
        <v>8.57</v>
      </c>
      <c r="D56" s="10">
        <v>10</v>
      </c>
      <c r="E56" s="10">
        <v>1.1599999999999999</v>
      </c>
      <c r="F56" s="10">
        <v>25878</v>
      </c>
      <c r="G56" s="10">
        <f t="shared" si="6"/>
        <v>586</v>
      </c>
      <c r="H56" s="11">
        <f t="shared" si="1"/>
        <v>1.1668611435239207</v>
      </c>
      <c r="I56" s="15" t="str">
        <f t="shared" si="5"/>
        <v>2018</v>
      </c>
    </row>
    <row r="57" spans="1:9" ht="15" customHeight="1">
      <c r="A57" s="9">
        <v>43171</v>
      </c>
      <c r="B57" s="10">
        <f t="shared" si="3"/>
        <v>32</v>
      </c>
      <c r="C57" s="10">
        <v>8.64</v>
      </c>
      <c r="D57" s="10">
        <v>10</v>
      </c>
      <c r="E57" s="10">
        <v>1.1599999999999999</v>
      </c>
      <c r="F57" s="10">
        <v>26464</v>
      </c>
      <c r="G57" s="10">
        <f t="shared" si="6"/>
        <v>291.59999999999854</v>
      </c>
      <c r="H57" s="11">
        <f t="shared" si="1"/>
        <v>1.1574074074074074</v>
      </c>
      <c r="I57" s="15" t="str">
        <f t="shared" si="5"/>
        <v>2018</v>
      </c>
    </row>
    <row r="58" spans="1:9" ht="15" customHeight="1">
      <c r="A58" s="9">
        <v>43203</v>
      </c>
      <c r="B58" s="10">
        <f t="shared" si="3"/>
        <v>15</v>
      </c>
      <c r="C58" s="10">
        <v>4.32</v>
      </c>
      <c r="D58" s="10">
        <v>5</v>
      </c>
      <c r="E58" s="10">
        <v>1.1599999999999999</v>
      </c>
      <c r="F58" s="10">
        <v>26755.599999999999</v>
      </c>
      <c r="G58" s="10">
        <f t="shared" si="6"/>
        <v>161.10000000000218</v>
      </c>
      <c r="H58" s="11">
        <f t="shared" si="1"/>
        <v>1.1574074074074074</v>
      </c>
      <c r="I58" s="15" t="str">
        <f t="shared" si="5"/>
        <v>2018</v>
      </c>
    </row>
    <row r="59" spans="1:9" ht="15" customHeight="1">
      <c r="A59" s="9">
        <v>43218</v>
      </c>
      <c r="B59" s="10">
        <f t="shared" si="3"/>
        <v>23</v>
      </c>
      <c r="C59" s="10">
        <v>8.3699999999999992</v>
      </c>
      <c r="D59" s="10">
        <v>10</v>
      </c>
      <c r="E59" s="10">
        <v>1.19</v>
      </c>
      <c r="F59" s="10">
        <v>26916.7</v>
      </c>
      <c r="G59" s="10">
        <f t="shared" si="6"/>
        <v>278.59999999999854</v>
      </c>
      <c r="H59" s="11">
        <f t="shared" si="1"/>
        <v>1.1947431302270013</v>
      </c>
      <c r="I59" s="15" t="str">
        <f t="shared" si="5"/>
        <v>2018</v>
      </c>
    </row>
    <row r="60" spans="1:9" ht="15" customHeight="1">
      <c r="A60" s="9">
        <v>43241</v>
      </c>
      <c r="B60" s="10">
        <f t="shared" si="3"/>
        <v>11</v>
      </c>
      <c r="C60" s="10">
        <v>4.05</v>
      </c>
      <c r="D60" s="10">
        <v>5</v>
      </c>
      <c r="E60" s="10">
        <v>1.23</v>
      </c>
      <c r="F60" s="10">
        <v>27195.3</v>
      </c>
      <c r="G60" s="10">
        <f t="shared" si="6"/>
        <v>134.29999999999927</v>
      </c>
      <c r="H60" s="11">
        <f t="shared" si="1"/>
        <v>1.2345679012345681</v>
      </c>
      <c r="I60" s="15" t="str">
        <f t="shared" si="5"/>
        <v>2018</v>
      </c>
    </row>
    <row r="61" spans="1:9" ht="15" customHeight="1">
      <c r="A61" s="9">
        <v>43252</v>
      </c>
      <c r="B61" s="10">
        <f t="shared" si="3"/>
        <v>17</v>
      </c>
      <c r="C61" s="10">
        <v>4.0199999999999996</v>
      </c>
      <c r="D61" s="10">
        <v>5</v>
      </c>
      <c r="E61" s="10">
        <v>1.24</v>
      </c>
      <c r="F61" s="10">
        <v>27329.599999999999</v>
      </c>
      <c r="G61" s="10">
        <f t="shared" si="6"/>
        <v>154.60000000000218</v>
      </c>
      <c r="H61" s="11">
        <f t="shared" si="1"/>
        <v>1.2437810945273633</v>
      </c>
      <c r="I61" s="15" t="str">
        <f t="shared" si="5"/>
        <v>2018</v>
      </c>
    </row>
    <row r="62" spans="1:9" ht="15" customHeight="1">
      <c r="A62" s="9">
        <v>43269</v>
      </c>
      <c r="B62" s="10">
        <f t="shared" si="3"/>
        <v>10</v>
      </c>
      <c r="C62" s="10">
        <v>4.0199999999999996</v>
      </c>
      <c r="D62" s="10">
        <v>5</v>
      </c>
      <c r="E62" s="10">
        <v>1.24</v>
      </c>
      <c r="F62" s="10">
        <v>27484.2</v>
      </c>
      <c r="G62" s="10">
        <f t="shared" si="6"/>
        <v>165.79999999999927</v>
      </c>
      <c r="H62" s="11">
        <f t="shared" si="1"/>
        <v>1.2437810945273633</v>
      </c>
      <c r="I62" s="15" t="str">
        <f t="shared" si="5"/>
        <v>2018</v>
      </c>
    </row>
    <row r="63" spans="1:9" ht="15" customHeight="1">
      <c r="A63" s="9">
        <v>43279</v>
      </c>
      <c r="B63" s="10">
        <f t="shared" si="3"/>
        <v>25</v>
      </c>
      <c r="C63" s="10">
        <v>7.88</v>
      </c>
      <c r="D63" s="10">
        <v>10</v>
      </c>
      <c r="E63" s="10">
        <v>1.26</v>
      </c>
      <c r="F63" s="10">
        <v>27650</v>
      </c>
      <c r="G63" s="10">
        <f t="shared" si="6"/>
        <v>272</v>
      </c>
      <c r="H63" s="11">
        <f t="shared" si="1"/>
        <v>1.2690355329949239</v>
      </c>
      <c r="I63" s="15" t="str">
        <f t="shared" si="5"/>
        <v>2018</v>
      </c>
    </row>
    <row r="64" spans="1:9" ht="15" customHeight="1">
      <c r="A64" s="9">
        <v>43304</v>
      </c>
      <c r="B64" s="10">
        <f t="shared" si="3"/>
        <v>11</v>
      </c>
      <c r="C64" s="10">
        <v>4.0199999999999996</v>
      </c>
      <c r="D64" s="10">
        <v>5</v>
      </c>
      <c r="E64" s="10">
        <v>1.24</v>
      </c>
      <c r="F64" s="10">
        <v>27922</v>
      </c>
      <c r="G64" s="10">
        <f t="shared" si="6"/>
        <v>130</v>
      </c>
      <c r="H64" s="11">
        <f t="shared" si="1"/>
        <v>1.2437810945273633</v>
      </c>
      <c r="I64" s="15" t="str">
        <f t="shared" si="5"/>
        <v>2018</v>
      </c>
    </row>
    <row r="65" spans="1:9" ht="15" customHeight="1">
      <c r="A65" s="9">
        <v>43315</v>
      </c>
      <c r="B65" s="10">
        <f t="shared" si="3"/>
        <v>41</v>
      </c>
      <c r="C65" s="10">
        <v>8.0299999999999994</v>
      </c>
      <c r="D65" s="10">
        <v>10</v>
      </c>
      <c r="E65" s="10">
        <v>1.24</v>
      </c>
      <c r="F65" s="10">
        <v>28052</v>
      </c>
      <c r="G65" s="10">
        <f t="shared" si="6"/>
        <v>296.70000000000073</v>
      </c>
      <c r="H65" s="11">
        <f t="shared" si="1"/>
        <v>1.2453300124533002</v>
      </c>
      <c r="I65" s="15" t="str">
        <f t="shared" si="5"/>
        <v>2018</v>
      </c>
    </row>
    <row r="66" spans="1:9" ht="15" customHeight="1">
      <c r="A66" s="9">
        <v>43356</v>
      </c>
      <c r="B66" s="10">
        <f t="shared" si="3"/>
        <v>11</v>
      </c>
      <c r="C66" s="10">
        <v>3.98</v>
      </c>
      <c r="D66" s="10">
        <v>5</v>
      </c>
      <c r="E66" s="10">
        <v>1.25</v>
      </c>
      <c r="F66" s="10">
        <v>28348.7</v>
      </c>
      <c r="G66" s="10">
        <f t="shared" si="6"/>
        <v>126.79999999999927</v>
      </c>
      <c r="H66" s="11">
        <f t="shared" si="1"/>
        <v>1.256281407035176</v>
      </c>
      <c r="I66" s="15" t="str">
        <f t="shared" ref="I66:I97" si="7">MID(TEXT(A66,"aaaa/mm/dd"),1,4)</f>
        <v>2018</v>
      </c>
    </row>
    <row r="67" spans="1:9" ht="15" customHeight="1">
      <c r="A67" s="9">
        <v>43367</v>
      </c>
      <c r="B67" s="10">
        <f t="shared" ref="B67:B130" si="8">IF(A68&lt;&gt;"",_xlfn.DAYS(A68,A67),"")</f>
        <v>10</v>
      </c>
      <c r="C67" s="10">
        <v>3.98</v>
      </c>
      <c r="D67" s="10">
        <v>5</v>
      </c>
      <c r="E67" s="10">
        <v>1.25</v>
      </c>
      <c r="F67" s="10">
        <v>28475.5</v>
      </c>
      <c r="G67" s="10">
        <f t="shared" ref="G67:G98" si="9">IF(F68&lt;&gt;"",F68-F67,"")</f>
        <v>146.40000000000146</v>
      </c>
      <c r="H67" s="11">
        <f t="shared" ref="H67:H77" si="10">IF(D67="","",D67/C67)</f>
        <v>1.256281407035176</v>
      </c>
      <c r="I67" s="15" t="str">
        <f t="shared" si="7"/>
        <v>2018</v>
      </c>
    </row>
    <row r="68" spans="1:9" ht="15" customHeight="1">
      <c r="A68" s="9">
        <v>43377</v>
      </c>
      <c r="B68" s="10">
        <f t="shared" si="8"/>
        <v>18</v>
      </c>
      <c r="C68" s="10">
        <v>3.98</v>
      </c>
      <c r="D68" s="10">
        <v>5</v>
      </c>
      <c r="E68" s="10">
        <v>1.25</v>
      </c>
      <c r="F68" s="10">
        <v>28621.9</v>
      </c>
      <c r="G68" s="10">
        <f t="shared" si="9"/>
        <v>138.09999999999854</v>
      </c>
      <c r="H68" s="11">
        <f t="shared" si="10"/>
        <v>1.256281407035176</v>
      </c>
      <c r="I68" s="15" t="str">
        <f t="shared" si="7"/>
        <v>2018</v>
      </c>
    </row>
    <row r="69" spans="1:9" ht="15" customHeight="1">
      <c r="A69" s="9">
        <v>43395</v>
      </c>
      <c r="B69" s="10">
        <f t="shared" si="8"/>
        <v>14</v>
      </c>
      <c r="C69" s="10">
        <v>3.95</v>
      </c>
      <c r="D69" s="10">
        <v>5</v>
      </c>
      <c r="E69" s="10">
        <v>1.26</v>
      </c>
      <c r="F69" s="10">
        <v>28760</v>
      </c>
      <c r="G69" s="10">
        <f t="shared" si="9"/>
        <v>150</v>
      </c>
      <c r="H69" s="11">
        <f t="shared" si="10"/>
        <v>1.2658227848101264</v>
      </c>
      <c r="I69" s="15" t="str">
        <f t="shared" si="7"/>
        <v>2018</v>
      </c>
    </row>
    <row r="70" spans="1:9" ht="15" customHeight="1">
      <c r="A70" s="9">
        <v>43409</v>
      </c>
      <c r="B70" s="10">
        <f t="shared" si="8"/>
        <v>10</v>
      </c>
      <c r="C70" s="10">
        <v>3.95</v>
      </c>
      <c r="D70" s="10">
        <v>5</v>
      </c>
      <c r="E70" s="10">
        <v>1.26</v>
      </c>
      <c r="F70" s="10">
        <v>28910</v>
      </c>
      <c r="G70" s="10">
        <f t="shared" si="9"/>
        <v>135.79999999999927</v>
      </c>
      <c r="H70" s="11">
        <f t="shared" si="10"/>
        <v>1.2658227848101264</v>
      </c>
      <c r="I70" s="15" t="str">
        <f t="shared" si="7"/>
        <v>2018</v>
      </c>
    </row>
    <row r="71" spans="1:9" ht="15" customHeight="1">
      <c r="A71" s="9">
        <v>43419</v>
      </c>
      <c r="B71" s="10">
        <f t="shared" si="8"/>
        <v>9</v>
      </c>
      <c r="C71" s="10">
        <v>3.95</v>
      </c>
      <c r="D71" s="10">
        <v>5</v>
      </c>
      <c r="E71" s="10">
        <v>1.26</v>
      </c>
      <c r="F71" s="10">
        <v>29045.8</v>
      </c>
      <c r="G71" s="10">
        <f t="shared" si="9"/>
        <v>135.20000000000073</v>
      </c>
      <c r="H71" s="11">
        <f t="shared" si="10"/>
        <v>1.2658227848101264</v>
      </c>
      <c r="I71" s="15" t="str">
        <f t="shared" si="7"/>
        <v>2018</v>
      </c>
    </row>
    <row r="72" spans="1:9" ht="15" customHeight="1">
      <c r="A72" s="9">
        <v>43428</v>
      </c>
      <c r="B72" s="10">
        <f t="shared" si="8"/>
        <v>23</v>
      </c>
      <c r="C72" s="10">
        <v>7.97</v>
      </c>
      <c r="D72" s="10">
        <v>10</v>
      </c>
      <c r="E72" s="10">
        <v>1.25</v>
      </c>
      <c r="F72" s="10">
        <v>29181</v>
      </c>
      <c r="G72" s="10">
        <f t="shared" si="9"/>
        <v>369</v>
      </c>
      <c r="H72" s="11">
        <f t="shared" si="10"/>
        <v>1.2547051442910917</v>
      </c>
      <c r="I72" s="15" t="str">
        <f t="shared" si="7"/>
        <v>2018</v>
      </c>
    </row>
    <row r="73" spans="1:9" ht="15" customHeight="1">
      <c r="A73" s="9">
        <v>43451</v>
      </c>
      <c r="B73" s="10">
        <f t="shared" si="8"/>
        <v>45</v>
      </c>
      <c r="C73" s="10">
        <v>9.0500000000000007</v>
      </c>
      <c r="D73" s="10">
        <v>10</v>
      </c>
      <c r="E73" s="10">
        <v>1.1000000000000001</v>
      </c>
      <c r="F73" s="10">
        <v>29550</v>
      </c>
      <c r="G73" s="10">
        <f t="shared" si="9"/>
        <v>398</v>
      </c>
      <c r="H73" s="11">
        <f t="shared" si="10"/>
        <v>1.1049723756906076</v>
      </c>
      <c r="I73" s="15" t="str">
        <f t="shared" si="7"/>
        <v>2018</v>
      </c>
    </row>
    <row r="74" spans="1:9" ht="15" customHeight="1">
      <c r="A74" s="9">
        <v>43496</v>
      </c>
      <c r="B74" s="10">
        <f t="shared" si="8"/>
        <v>28</v>
      </c>
      <c r="C74" s="10">
        <v>9.0500000000000007</v>
      </c>
      <c r="D74" s="10">
        <v>10</v>
      </c>
      <c r="E74" s="10">
        <v>1.1000000000000001</v>
      </c>
      <c r="F74" s="10">
        <v>29948</v>
      </c>
      <c r="G74" s="10">
        <f t="shared" si="9"/>
        <v>321</v>
      </c>
      <c r="H74" s="11">
        <f t="shared" si="10"/>
        <v>1.1049723756906076</v>
      </c>
      <c r="I74" s="15" t="str">
        <f t="shared" si="7"/>
        <v>2019</v>
      </c>
    </row>
    <row r="75" spans="1:9" ht="15" customHeight="1">
      <c r="A75" s="9">
        <v>43524</v>
      </c>
      <c r="B75" s="10">
        <f t="shared" si="8"/>
        <v>25</v>
      </c>
      <c r="C75" s="10">
        <v>8.89</v>
      </c>
      <c r="D75" s="10">
        <v>10</v>
      </c>
      <c r="E75" s="10">
        <v>1.1200000000000001</v>
      </c>
      <c r="F75" s="10">
        <v>30269</v>
      </c>
      <c r="G75" s="10">
        <f t="shared" si="9"/>
        <v>314.29999999999927</v>
      </c>
      <c r="H75" s="11">
        <f t="shared" si="10"/>
        <v>1.124859392575928</v>
      </c>
      <c r="I75" s="15" t="str">
        <f t="shared" si="7"/>
        <v>2019</v>
      </c>
    </row>
    <row r="76" spans="1:9" ht="15" customHeight="1">
      <c r="A76" s="9">
        <v>43549</v>
      </c>
      <c r="B76" s="10">
        <f t="shared" si="8"/>
        <v>30</v>
      </c>
      <c r="C76" s="10">
        <v>8.58</v>
      </c>
      <c r="D76" s="10">
        <v>10</v>
      </c>
      <c r="E76" s="10">
        <v>1.1599999999999999</v>
      </c>
      <c r="F76" s="10">
        <v>30583.3</v>
      </c>
      <c r="G76" s="10">
        <f t="shared" si="9"/>
        <v>334</v>
      </c>
      <c r="H76" s="11">
        <f t="shared" si="10"/>
        <v>1.1655011655011656</v>
      </c>
      <c r="I76" s="15" t="str">
        <f t="shared" si="7"/>
        <v>2019</v>
      </c>
    </row>
    <row r="77" spans="1:9" ht="15" customHeight="1">
      <c r="A77" s="9">
        <v>43579</v>
      </c>
      <c r="B77" s="10">
        <f t="shared" si="8"/>
        <v>26</v>
      </c>
      <c r="C77" s="10">
        <v>8.16</v>
      </c>
      <c r="D77" s="10">
        <v>10</v>
      </c>
      <c r="E77" s="10">
        <v>1.23</v>
      </c>
      <c r="F77" s="10">
        <v>30917.3</v>
      </c>
      <c r="G77" s="10">
        <f t="shared" si="9"/>
        <v>280</v>
      </c>
      <c r="H77" s="11">
        <f t="shared" si="10"/>
        <v>1.2254901960784315</v>
      </c>
      <c r="I77" s="15" t="str">
        <f t="shared" si="7"/>
        <v>2019</v>
      </c>
    </row>
    <row r="78" spans="1:9" ht="15" customHeight="1">
      <c r="A78" s="9">
        <v>43605</v>
      </c>
      <c r="B78" s="10">
        <f t="shared" si="8"/>
        <v>11</v>
      </c>
      <c r="C78" s="10">
        <v>3.86</v>
      </c>
      <c r="D78" s="10">
        <v>5</v>
      </c>
      <c r="E78" s="10">
        <v>1.3</v>
      </c>
      <c r="F78" s="10">
        <v>31197.3</v>
      </c>
      <c r="G78" s="10">
        <f t="shared" si="9"/>
        <v>152.10000000000218</v>
      </c>
      <c r="H78" s="11">
        <f t="shared" ref="H78:H130" si="11">IF(D78="","",D78/C78)</f>
        <v>1.2953367875647668</v>
      </c>
      <c r="I78" s="15" t="str">
        <f t="shared" si="7"/>
        <v>2019</v>
      </c>
    </row>
    <row r="79" spans="1:9" ht="15" customHeight="1">
      <c r="A79" s="9">
        <v>43616</v>
      </c>
      <c r="B79" s="10" t="str">
        <f t="shared" si="8"/>
        <v/>
      </c>
      <c r="C79" s="10">
        <v>7.84</v>
      </c>
      <c r="D79" s="10">
        <v>10</v>
      </c>
      <c r="E79" s="10">
        <v>1.27</v>
      </c>
      <c r="F79" s="10">
        <v>31349.4</v>
      </c>
      <c r="G79" s="10" t="str">
        <f t="shared" si="9"/>
        <v/>
      </c>
      <c r="H79" s="11">
        <f t="shared" si="11"/>
        <v>1.2755102040816326</v>
      </c>
      <c r="I79" s="15" t="str">
        <f t="shared" si="7"/>
        <v>2019</v>
      </c>
    </row>
    <row r="80" spans="1:9" ht="15" customHeight="1">
      <c r="A80" s="9"/>
      <c r="B80" s="10" t="str">
        <f t="shared" si="8"/>
        <v/>
      </c>
      <c r="C80" s="10"/>
      <c r="D80" s="10"/>
      <c r="E80" s="10"/>
      <c r="F80" s="10"/>
      <c r="G80" s="10" t="str">
        <f t="shared" si="9"/>
        <v/>
      </c>
      <c r="H80" s="11" t="str">
        <f>IF(D80="","",D80/C80)</f>
        <v/>
      </c>
      <c r="I80" s="15" t="str">
        <f t="shared" si="7"/>
        <v>1900</v>
      </c>
    </row>
    <row r="81" spans="1:9" ht="15" customHeight="1">
      <c r="A81" s="9"/>
      <c r="B81" s="10" t="str">
        <f t="shared" si="8"/>
        <v/>
      </c>
      <c r="C81" s="10"/>
      <c r="D81" s="10"/>
      <c r="E81" s="10"/>
      <c r="F81" s="10"/>
      <c r="G81" s="10" t="str">
        <f t="shared" si="9"/>
        <v/>
      </c>
      <c r="H81" s="11" t="str">
        <f t="shared" si="11"/>
        <v/>
      </c>
      <c r="I81" s="15" t="str">
        <f t="shared" si="7"/>
        <v>1900</v>
      </c>
    </row>
    <row r="82" spans="1:9" ht="15" customHeight="1">
      <c r="A82" s="9"/>
      <c r="B82" s="10" t="str">
        <f t="shared" si="8"/>
        <v/>
      </c>
      <c r="C82" s="10"/>
      <c r="D82" s="10"/>
      <c r="E82" s="10"/>
      <c r="F82" s="10"/>
      <c r="G82" s="10" t="str">
        <f t="shared" si="9"/>
        <v/>
      </c>
      <c r="H82" s="11" t="str">
        <f t="shared" si="11"/>
        <v/>
      </c>
      <c r="I82" s="15" t="str">
        <f t="shared" si="7"/>
        <v>1900</v>
      </c>
    </row>
    <row r="83" spans="1:9" ht="15" customHeight="1">
      <c r="A83" s="9"/>
      <c r="B83" s="10" t="str">
        <f t="shared" si="8"/>
        <v/>
      </c>
      <c r="C83" s="10"/>
      <c r="D83" s="10"/>
      <c r="E83" s="10"/>
      <c r="F83" s="10"/>
      <c r="G83" s="10" t="str">
        <f t="shared" si="9"/>
        <v/>
      </c>
      <c r="H83" s="11" t="str">
        <f t="shared" si="11"/>
        <v/>
      </c>
      <c r="I83" s="15" t="str">
        <f t="shared" si="7"/>
        <v>1900</v>
      </c>
    </row>
    <row r="84" spans="1:9" ht="15" customHeight="1">
      <c r="A84" s="9"/>
      <c r="B84" s="10" t="str">
        <f t="shared" si="8"/>
        <v/>
      </c>
      <c r="C84" s="10"/>
      <c r="D84" s="10"/>
      <c r="E84" s="10"/>
      <c r="F84" s="10"/>
      <c r="G84" s="10" t="str">
        <f t="shared" si="9"/>
        <v/>
      </c>
      <c r="H84" s="11" t="str">
        <f t="shared" si="11"/>
        <v/>
      </c>
      <c r="I84" s="15" t="str">
        <f t="shared" si="7"/>
        <v>1900</v>
      </c>
    </row>
    <row r="85" spans="1:9" ht="15" customHeight="1">
      <c r="A85" s="9"/>
      <c r="B85" s="10" t="str">
        <f t="shared" si="8"/>
        <v/>
      </c>
      <c r="C85" s="10"/>
      <c r="D85" s="10"/>
      <c r="E85" s="10"/>
      <c r="F85" s="10"/>
      <c r="G85" s="10" t="str">
        <f t="shared" si="9"/>
        <v/>
      </c>
      <c r="H85" s="11" t="str">
        <f t="shared" si="11"/>
        <v/>
      </c>
      <c r="I85" s="15" t="str">
        <f t="shared" si="7"/>
        <v>1900</v>
      </c>
    </row>
    <row r="86" spans="1:9" ht="15" customHeight="1">
      <c r="A86" s="9"/>
      <c r="B86" s="10" t="str">
        <f t="shared" si="8"/>
        <v/>
      </c>
      <c r="C86" s="10"/>
      <c r="D86" s="10"/>
      <c r="E86" s="10"/>
      <c r="F86" s="10"/>
      <c r="G86" s="10" t="str">
        <f t="shared" si="9"/>
        <v/>
      </c>
      <c r="H86" s="11" t="str">
        <f t="shared" si="11"/>
        <v/>
      </c>
      <c r="I86" s="15" t="str">
        <f t="shared" si="7"/>
        <v>1900</v>
      </c>
    </row>
    <row r="87" spans="1:9" ht="15" customHeight="1">
      <c r="A87" s="9"/>
      <c r="B87" s="10" t="str">
        <f t="shared" si="8"/>
        <v/>
      </c>
      <c r="C87" s="10"/>
      <c r="D87" s="10"/>
      <c r="E87" s="10"/>
      <c r="F87" s="10"/>
      <c r="G87" s="10" t="str">
        <f t="shared" si="9"/>
        <v/>
      </c>
      <c r="H87" s="11" t="str">
        <f t="shared" si="11"/>
        <v/>
      </c>
      <c r="I87" s="15" t="str">
        <f t="shared" si="7"/>
        <v>1900</v>
      </c>
    </row>
    <row r="88" spans="1:9" ht="15" customHeight="1">
      <c r="A88" s="9"/>
      <c r="B88" s="10" t="str">
        <f t="shared" si="8"/>
        <v/>
      </c>
      <c r="C88" s="10"/>
      <c r="D88" s="10"/>
      <c r="E88" s="10"/>
      <c r="F88" s="10"/>
      <c r="G88" s="10" t="str">
        <f t="shared" si="9"/>
        <v/>
      </c>
      <c r="H88" s="11" t="str">
        <f t="shared" si="11"/>
        <v/>
      </c>
      <c r="I88" s="15" t="str">
        <f t="shared" si="7"/>
        <v>1900</v>
      </c>
    </row>
    <row r="89" spans="1:9" ht="15" customHeight="1">
      <c r="A89" s="9"/>
      <c r="B89" s="10" t="str">
        <f t="shared" si="8"/>
        <v/>
      </c>
      <c r="C89" s="10"/>
      <c r="D89" s="10"/>
      <c r="E89" s="10"/>
      <c r="F89" s="10"/>
      <c r="G89" s="10" t="str">
        <f t="shared" si="9"/>
        <v/>
      </c>
      <c r="H89" s="11" t="str">
        <f t="shared" si="11"/>
        <v/>
      </c>
      <c r="I89" s="15" t="str">
        <f t="shared" si="7"/>
        <v>1900</v>
      </c>
    </row>
    <row r="90" spans="1:9" ht="15" customHeight="1">
      <c r="A90" s="9"/>
      <c r="B90" s="10" t="str">
        <f t="shared" si="8"/>
        <v/>
      </c>
      <c r="C90" s="10"/>
      <c r="D90" s="10"/>
      <c r="E90" s="10"/>
      <c r="F90" s="10"/>
      <c r="G90" s="10" t="str">
        <f t="shared" si="9"/>
        <v/>
      </c>
      <c r="H90" s="11" t="str">
        <f t="shared" si="11"/>
        <v/>
      </c>
      <c r="I90" s="15" t="str">
        <f t="shared" si="7"/>
        <v>1900</v>
      </c>
    </row>
    <row r="91" spans="1:9" ht="15" customHeight="1">
      <c r="A91" s="9"/>
      <c r="B91" s="10" t="str">
        <f t="shared" si="8"/>
        <v/>
      </c>
      <c r="C91" s="10"/>
      <c r="D91" s="10"/>
      <c r="E91" s="10"/>
      <c r="F91" s="10"/>
      <c r="G91" s="10" t="str">
        <f t="shared" si="9"/>
        <v/>
      </c>
      <c r="H91" s="11" t="str">
        <f t="shared" si="11"/>
        <v/>
      </c>
      <c r="I91" s="15" t="str">
        <f t="shared" si="7"/>
        <v>1900</v>
      </c>
    </row>
    <row r="92" spans="1:9" ht="15" customHeight="1">
      <c r="A92" s="9"/>
      <c r="B92" s="10" t="str">
        <f t="shared" si="8"/>
        <v/>
      </c>
      <c r="C92" s="10"/>
      <c r="D92" s="10"/>
      <c r="E92" s="10"/>
      <c r="F92" s="10"/>
      <c r="G92" s="10" t="str">
        <f t="shared" si="9"/>
        <v/>
      </c>
      <c r="H92" s="11" t="str">
        <f t="shared" si="11"/>
        <v/>
      </c>
      <c r="I92" s="15" t="str">
        <f t="shared" si="7"/>
        <v>1900</v>
      </c>
    </row>
    <row r="93" spans="1:9" ht="15" customHeight="1">
      <c r="A93" s="9"/>
      <c r="B93" s="10" t="str">
        <f t="shared" si="8"/>
        <v/>
      </c>
      <c r="C93" s="10"/>
      <c r="D93" s="10"/>
      <c r="E93" s="10"/>
      <c r="F93" s="10"/>
      <c r="G93" s="10" t="str">
        <f t="shared" si="9"/>
        <v/>
      </c>
      <c r="H93" s="11" t="str">
        <f t="shared" si="11"/>
        <v/>
      </c>
      <c r="I93" s="15" t="str">
        <f t="shared" si="7"/>
        <v>1900</v>
      </c>
    </row>
    <row r="94" spans="1:9" ht="15" customHeight="1">
      <c r="A94" s="9"/>
      <c r="B94" s="10" t="str">
        <f t="shared" si="8"/>
        <v/>
      </c>
      <c r="C94" s="10"/>
      <c r="D94" s="10"/>
      <c r="E94" s="10"/>
      <c r="F94" s="10"/>
      <c r="G94" s="10" t="str">
        <f t="shared" si="9"/>
        <v/>
      </c>
      <c r="H94" s="11" t="str">
        <f t="shared" si="11"/>
        <v/>
      </c>
      <c r="I94" s="15" t="str">
        <f t="shared" si="7"/>
        <v>1900</v>
      </c>
    </row>
    <row r="95" spans="1:9" ht="15" customHeight="1">
      <c r="A95" s="9"/>
      <c r="B95" s="10" t="str">
        <f t="shared" si="8"/>
        <v/>
      </c>
      <c r="C95" s="10"/>
      <c r="D95" s="10"/>
      <c r="E95" s="10"/>
      <c r="F95" s="10"/>
      <c r="G95" s="10" t="str">
        <f t="shared" si="9"/>
        <v/>
      </c>
      <c r="H95" s="11" t="str">
        <f t="shared" si="11"/>
        <v/>
      </c>
      <c r="I95" s="15" t="str">
        <f t="shared" si="7"/>
        <v>1900</v>
      </c>
    </row>
    <row r="96" spans="1:9" ht="15" customHeight="1">
      <c r="A96" s="9"/>
      <c r="B96" s="10" t="str">
        <f t="shared" si="8"/>
        <v/>
      </c>
      <c r="C96" s="10"/>
      <c r="D96" s="10"/>
      <c r="E96" s="10"/>
      <c r="F96" s="10"/>
      <c r="G96" s="10" t="str">
        <f t="shared" si="9"/>
        <v/>
      </c>
      <c r="H96" s="11" t="str">
        <f t="shared" si="11"/>
        <v/>
      </c>
      <c r="I96" s="15" t="str">
        <f t="shared" si="7"/>
        <v>1900</v>
      </c>
    </row>
    <row r="97" spans="1:9" ht="15" customHeight="1">
      <c r="A97" s="9"/>
      <c r="B97" s="10" t="str">
        <f t="shared" si="8"/>
        <v/>
      </c>
      <c r="C97" s="10"/>
      <c r="D97" s="10"/>
      <c r="E97" s="10"/>
      <c r="F97" s="10"/>
      <c r="G97" s="10" t="str">
        <f t="shared" si="9"/>
        <v/>
      </c>
      <c r="H97" s="11" t="str">
        <f t="shared" si="11"/>
        <v/>
      </c>
      <c r="I97" s="15" t="str">
        <f t="shared" si="7"/>
        <v>1900</v>
      </c>
    </row>
    <row r="98" spans="1:9" ht="15" customHeight="1">
      <c r="A98" s="9"/>
      <c r="B98" s="10" t="str">
        <f t="shared" si="8"/>
        <v/>
      </c>
      <c r="C98" s="10"/>
      <c r="D98" s="10"/>
      <c r="E98" s="10"/>
      <c r="F98" s="10"/>
      <c r="G98" s="10" t="str">
        <f t="shared" si="9"/>
        <v/>
      </c>
      <c r="H98" s="11" t="str">
        <f t="shared" si="11"/>
        <v/>
      </c>
      <c r="I98" s="15" t="str">
        <f t="shared" ref="I98:I129" si="12">MID(TEXT(A98,"aaaa/mm/dd"),1,4)</f>
        <v>1900</v>
      </c>
    </row>
    <row r="99" spans="1:9" ht="15" customHeight="1">
      <c r="A99" s="9"/>
      <c r="B99" s="10" t="str">
        <f t="shared" si="8"/>
        <v/>
      </c>
      <c r="C99" s="10"/>
      <c r="D99" s="10"/>
      <c r="E99" s="10"/>
      <c r="F99" s="10"/>
      <c r="G99" s="10" t="str">
        <f t="shared" ref="G99:G130" si="13">IF(F100&lt;&gt;"",F100-F99,"")</f>
        <v/>
      </c>
      <c r="H99" s="11" t="str">
        <f t="shared" si="11"/>
        <v/>
      </c>
      <c r="I99" s="15" t="str">
        <f t="shared" si="12"/>
        <v>1900</v>
      </c>
    </row>
    <row r="100" spans="1:9" ht="15" customHeight="1">
      <c r="A100" s="9"/>
      <c r="B100" s="10" t="str">
        <f t="shared" si="8"/>
        <v/>
      </c>
      <c r="C100" s="10"/>
      <c r="D100" s="10"/>
      <c r="E100" s="10"/>
      <c r="F100" s="10"/>
      <c r="G100" s="10" t="str">
        <f t="shared" si="13"/>
        <v/>
      </c>
      <c r="H100" s="11" t="str">
        <f t="shared" si="11"/>
        <v/>
      </c>
      <c r="I100" s="15" t="str">
        <f t="shared" si="12"/>
        <v>1900</v>
      </c>
    </row>
    <row r="101" spans="1:9" ht="15" customHeight="1">
      <c r="A101" s="9"/>
      <c r="B101" s="10" t="str">
        <f t="shared" si="8"/>
        <v/>
      </c>
      <c r="C101" s="10"/>
      <c r="D101" s="10"/>
      <c r="E101" s="10"/>
      <c r="F101" s="10"/>
      <c r="G101" s="10" t="str">
        <f t="shared" si="13"/>
        <v/>
      </c>
      <c r="H101" s="11" t="str">
        <f t="shared" si="11"/>
        <v/>
      </c>
      <c r="I101" s="15" t="str">
        <f t="shared" si="12"/>
        <v>1900</v>
      </c>
    </row>
    <row r="102" spans="1:9" ht="15" customHeight="1">
      <c r="A102" s="9"/>
      <c r="B102" s="10" t="str">
        <f t="shared" si="8"/>
        <v/>
      </c>
      <c r="C102" s="10"/>
      <c r="D102" s="10"/>
      <c r="E102" s="10"/>
      <c r="F102" s="10"/>
      <c r="G102" s="10" t="str">
        <f t="shared" si="13"/>
        <v/>
      </c>
      <c r="H102" s="11" t="str">
        <f t="shared" si="11"/>
        <v/>
      </c>
      <c r="I102" s="15" t="str">
        <f t="shared" si="12"/>
        <v>1900</v>
      </c>
    </row>
    <row r="103" spans="1:9" ht="15" customHeight="1">
      <c r="A103" s="9"/>
      <c r="B103" s="10" t="str">
        <f t="shared" si="8"/>
        <v/>
      </c>
      <c r="C103" s="10"/>
      <c r="D103" s="10"/>
      <c r="E103" s="10"/>
      <c r="F103" s="10"/>
      <c r="G103" s="10" t="str">
        <f t="shared" si="13"/>
        <v/>
      </c>
      <c r="H103" s="11" t="str">
        <f t="shared" si="11"/>
        <v/>
      </c>
      <c r="I103" s="15" t="str">
        <f t="shared" si="12"/>
        <v>1900</v>
      </c>
    </row>
    <row r="104" spans="1:9" ht="15" customHeight="1">
      <c r="A104" s="9"/>
      <c r="B104" s="10" t="str">
        <f t="shared" si="8"/>
        <v/>
      </c>
      <c r="C104" s="10"/>
      <c r="D104" s="10"/>
      <c r="E104" s="10"/>
      <c r="F104" s="10"/>
      <c r="G104" s="10" t="str">
        <f t="shared" si="13"/>
        <v/>
      </c>
      <c r="H104" s="11" t="str">
        <f t="shared" si="11"/>
        <v/>
      </c>
      <c r="I104" s="15" t="str">
        <f t="shared" si="12"/>
        <v>1900</v>
      </c>
    </row>
    <row r="105" spans="1:9" ht="15" customHeight="1">
      <c r="A105" s="9"/>
      <c r="B105" s="10" t="str">
        <f t="shared" si="8"/>
        <v/>
      </c>
      <c r="C105" s="10"/>
      <c r="D105" s="10"/>
      <c r="E105" s="10"/>
      <c r="F105" s="10"/>
      <c r="G105" s="10" t="str">
        <f t="shared" si="13"/>
        <v/>
      </c>
      <c r="H105" s="11" t="str">
        <f t="shared" si="11"/>
        <v/>
      </c>
      <c r="I105" s="15" t="str">
        <f t="shared" si="12"/>
        <v>1900</v>
      </c>
    </row>
    <row r="106" spans="1:9" ht="15" customHeight="1">
      <c r="A106" s="9"/>
      <c r="B106" s="10" t="str">
        <f t="shared" si="8"/>
        <v/>
      </c>
      <c r="C106" s="10"/>
      <c r="D106" s="10"/>
      <c r="E106" s="10"/>
      <c r="F106" s="10"/>
      <c r="G106" s="10" t="str">
        <f t="shared" si="13"/>
        <v/>
      </c>
      <c r="H106" s="11" t="str">
        <f t="shared" si="11"/>
        <v/>
      </c>
      <c r="I106" s="15" t="str">
        <f t="shared" si="12"/>
        <v>1900</v>
      </c>
    </row>
    <row r="107" spans="1:9" ht="15" customHeight="1">
      <c r="A107" s="9"/>
      <c r="B107" s="10" t="str">
        <f t="shared" si="8"/>
        <v/>
      </c>
      <c r="C107" s="10"/>
      <c r="D107" s="10"/>
      <c r="E107" s="10"/>
      <c r="F107" s="10"/>
      <c r="G107" s="10" t="str">
        <f t="shared" si="13"/>
        <v/>
      </c>
      <c r="H107" s="11" t="str">
        <f t="shared" si="11"/>
        <v/>
      </c>
      <c r="I107" s="15" t="str">
        <f t="shared" si="12"/>
        <v>1900</v>
      </c>
    </row>
    <row r="108" spans="1:9" ht="15" customHeight="1">
      <c r="A108" s="9"/>
      <c r="B108" s="10" t="str">
        <f t="shared" si="8"/>
        <v/>
      </c>
      <c r="C108" s="10"/>
      <c r="D108" s="10"/>
      <c r="E108" s="10"/>
      <c r="F108" s="10"/>
      <c r="G108" s="10" t="str">
        <f t="shared" si="13"/>
        <v/>
      </c>
      <c r="H108" s="11" t="str">
        <f t="shared" si="11"/>
        <v/>
      </c>
      <c r="I108" s="15" t="str">
        <f t="shared" si="12"/>
        <v>1900</v>
      </c>
    </row>
    <row r="109" spans="1:9" ht="15" customHeight="1">
      <c r="A109" s="9"/>
      <c r="B109" s="10" t="str">
        <f t="shared" si="8"/>
        <v/>
      </c>
      <c r="C109" s="10"/>
      <c r="D109" s="10"/>
      <c r="E109" s="10"/>
      <c r="F109" s="10"/>
      <c r="G109" s="10" t="str">
        <f t="shared" si="13"/>
        <v/>
      </c>
      <c r="H109" s="11" t="str">
        <f t="shared" si="11"/>
        <v/>
      </c>
      <c r="I109" s="15" t="str">
        <f t="shared" si="12"/>
        <v>1900</v>
      </c>
    </row>
    <row r="110" spans="1:9" ht="15" customHeight="1">
      <c r="A110" s="9"/>
      <c r="B110" s="10" t="str">
        <f t="shared" si="8"/>
        <v/>
      </c>
      <c r="C110" s="10"/>
      <c r="D110" s="10"/>
      <c r="E110" s="10"/>
      <c r="F110" s="10"/>
      <c r="G110" s="10" t="str">
        <f t="shared" si="13"/>
        <v/>
      </c>
      <c r="H110" s="11" t="str">
        <f t="shared" si="11"/>
        <v/>
      </c>
      <c r="I110" s="15" t="str">
        <f t="shared" si="12"/>
        <v>1900</v>
      </c>
    </row>
    <row r="111" spans="1:9" ht="15" customHeight="1">
      <c r="A111" s="9"/>
      <c r="B111" s="10" t="str">
        <f t="shared" si="8"/>
        <v/>
      </c>
      <c r="C111" s="10"/>
      <c r="D111" s="10"/>
      <c r="E111" s="10"/>
      <c r="F111" s="10"/>
      <c r="G111" s="10" t="str">
        <f t="shared" si="13"/>
        <v/>
      </c>
      <c r="H111" s="11" t="str">
        <f t="shared" si="11"/>
        <v/>
      </c>
      <c r="I111" s="15" t="str">
        <f t="shared" si="12"/>
        <v>1900</v>
      </c>
    </row>
    <row r="112" spans="1:9" ht="15" customHeight="1">
      <c r="A112" s="9"/>
      <c r="B112" s="10" t="str">
        <f t="shared" si="8"/>
        <v/>
      </c>
      <c r="C112" s="10"/>
      <c r="D112" s="10"/>
      <c r="E112" s="10"/>
      <c r="F112" s="10"/>
      <c r="G112" s="10" t="str">
        <f t="shared" si="13"/>
        <v/>
      </c>
      <c r="H112" s="11" t="str">
        <f t="shared" si="11"/>
        <v/>
      </c>
      <c r="I112" s="15" t="str">
        <f t="shared" si="12"/>
        <v>1900</v>
      </c>
    </row>
    <row r="113" spans="1:9" ht="15" customHeight="1">
      <c r="A113" s="9"/>
      <c r="B113" s="10" t="str">
        <f t="shared" si="8"/>
        <v/>
      </c>
      <c r="C113" s="10"/>
      <c r="D113" s="10"/>
      <c r="E113" s="10"/>
      <c r="F113" s="10"/>
      <c r="G113" s="10" t="str">
        <f t="shared" si="13"/>
        <v/>
      </c>
      <c r="H113" s="11" t="str">
        <f t="shared" si="11"/>
        <v/>
      </c>
      <c r="I113" s="15" t="str">
        <f t="shared" si="12"/>
        <v>1900</v>
      </c>
    </row>
    <row r="114" spans="1:9" ht="15" customHeight="1">
      <c r="A114" s="9"/>
      <c r="B114" s="10" t="str">
        <f t="shared" si="8"/>
        <v/>
      </c>
      <c r="C114" s="10"/>
      <c r="D114" s="10"/>
      <c r="E114" s="10"/>
      <c r="F114" s="10"/>
      <c r="G114" s="10" t="str">
        <f t="shared" si="13"/>
        <v/>
      </c>
      <c r="H114" s="11" t="str">
        <f t="shared" si="11"/>
        <v/>
      </c>
      <c r="I114" s="15" t="str">
        <f t="shared" si="12"/>
        <v>1900</v>
      </c>
    </row>
    <row r="115" spans="1:9" ht="15" customHeight="1">
      <c r="A115" s="9"/>
      <c r="B115" s="10" t="str">
        <f t="shared" si="8"/>
        <v/>
      </c>
      <c r="C115" s="10"/>
      <c r="D115" s="10"/>
      <c r="E115" s="10"/>
      <c r="F115" s="10"/>
      <c r="G115" s="10" t="str">
        <f t="shared" si="13"/>
        <v/>
      </c>
      <c r="H115" s="11" t="str">
        <f t="shared" si="11"/>
        <v/>
      </c>
      <c r="I115" s="15" t="str">
        <f t="shared" si="12"/>
        <v>1900</v>
      </c>
    </row>
    <row r="116" spans="1:9" ht="15" customHeight="1">
      <c r="A116" s="9"/>
      <c r="B116" s="10" t="str">
        <f t="shared" si="8"/>
        <v/>
      </c>
      <c r="C116" s="10"/>
      <c r="D116" s="10"/>
      <c r="E116" s="10"/>
      <c r="F116" s="10"/>
      <c r="G116" s="10" t="str">
        <f t="shared" si="13"/>
        <v/>
      </c>
      <c r="H116" s="11" t="str">
        <f t="shared" si="11"/>
        <v/>
      </c>
      <c r="I116" s="15" t="str">
        <f t="shared" si="12"/>
        <v>1900</v>
      </c>
    </row>
    <row r="117" spans="1:9" ht="15" customHeight="1">
      <c r="A117" s="9"/>
      <c r="B117" s="10" t="str">
        <f t="shared" si="8"/>
        <v/>
      </c>
      <c r="C117" s="10"/>
      <c r="D117" s="10"/>
      <c r="E117" s="10"/>
      <c r="F117" s="10"/>
      <c r="G117" s="10" t="str">
        <f t="shared" si="13"/>
        <v/>
      </c>
      <c r="H117" s="11" t="str">
        <f t="shared" si="11"/>
        <v/>
      </c>
      <c r="I117" s="15" t="str">
        <f t="shared" si="12"/>
        <v>1900</v>
      </c>
    </row>
    <row r="118" spans="1:9" ht="15" customHeight="1">
      <c r="A118" s="9"/>
      <c r="B118" s="10" t="str">
        <f t="shared" si="8"/>
        <v/>
      </c>
      <c r="C118" s="10"/>
      <c r="D118" s="10"/>
      <c r="E118" s="10"/>
      <c r="F118" s="10"/>
      <c r="G118" s="10" t="str">
        <f t="shared" si="13"/>
        <v/>
      </c>
      <c r="H118" s="11" t="str">
        <f t="shared" si="11"/>
        <v/>
      </c>
      <c r="I118" s="15" t="str">
        <f t="shared" si="12"/>
        <v>1900</v>
      </c>
    </row>
    <row r="119" spans="1:9" ht="15" customHeight="1">
      <c r="A119" s="9"/>
      <c r="B119" s="10" t="str">
        <f t="shared" si="8"/>
        <v/>
      </c>
      <c r="C119" s="10"/>
      <c r="D119" s="10"/>
      <c r="E119" s="10"/>
      <c r="F119" s="10"/>
      <c r="G119" s="10" t="str">
        <f t="shared" si="13"/>
        <v/>
      </c>
      <c r="H119" s="11" t="str">
        <f t="shared" si="11"/>
        <v/>
      </c>
      <c r="I119" s="15" t="str">
        <f t="shared" si="12"/>
        <v>1900</v>
      </c>
    </row>
    <row r="120" spans="1:9" ht="15" customHeight="1">
      <c r="A120" s="9"/>
      <c r="B120" s="10" t="str">
        <f t="shared" si="8"/>
        <v/>
      </c>
      <c r="C120" s="10"/>
      <c r="D120" s="10"/>
      <c r="E120" s="10"/>
      <c r="F120" s="10"/>
      <c r="G120" s="10" t="str">
        <f t="shared" si="13"/>
        <v/>
      </c>
      <c r="H120" s="11" t="str">
        <f t="shared" si="11"/>
        <v/>
      </c>
      <c r="I120" s="15" t="str">
        <f t="shared" si="12"/>
        <v>1900</v>
      </c>
    </row>
    <row r="121" spans="1:9" ht="15" customHeight="1">
      <c r="A121" s="9"/>
      <c r="B121" s="10" t="str">
        <f t="shared" si="8"/>
        <v/>
      </c>
      <c r="C121" s="10"/>
      <c r="D121" s="10"/>
      <c r="E121" s="10"/>
      <c r="F121" s="10"/>
      <c r="G121" s="10" t="str">
        <f t="shared" si="13"/>
        <v/>
      </c>
      <c r="H121" s="11" t="str">
        <f t="shared" si="11"/>
        <v/>
      </c>
      <c r="I121" s="15" t="str">
        <f t="shared" si="12"/>
        <v>1900</v>
      </c>
    </row>
    <row r="122" spans="1:9" ht="15" customHeight="1">
      <c r="A122" s="9"/>
      <c r="B122" s="10" t="str">
        <f t="shared" si="8"/>
        <v/>
      </c>
      <c r="C122" s="10"/>
      <c r="D122" s="10"/>
      <c r="E122" s="10"/>
      <c r="F122" s="10"/>
      <c r="G122" s="10" t="str">
        <f t="shared" si="13"/>
        <v/>
      </c>
      <c r="H122" s="11" t="str">
        <f t="shared" si="11"/>
        <v/>
      </c>
      <c r="I122" s="15" t="str">
        <f t="shared" si="12"/>
        <v>1900</v>
      </c>
    </row>
    <row r="123" spans="1:9" ht="15" customHeight="1">
      <c r="A123" s="9"/>
      <c r="B123" s="10" t="str">
        <f t="shared" si="8"/>
        <v/>
      </c>
      <c r="C123" s="10"/>
      <c r="D123" s="10"/>
      <c r="E123" s="10"/>
      <c r="F123" s="10"/>
      <c r="G123" s="10" t="str">
        <f t="shared" si="13"/>
        <v/>
      </c>
      <c r="H123" s="11" t="str">
        <f t="shared" si="11"/>
        <v/>
      </c>
      <c r="I123" s="15" t="str">
        <f t="shared" si="12"/>
        <v>1900</v>
      </c>
    </row>
    <row r="124" spans="1:9" ht="15" customHeight="1">
      <c r="A124" s="9"/>
      <c r="B124" s="10" t="str">
        <f t="shared" si="8"/>
        <v/>
      </c>
      <c r="C124" s="10"/>
      <c r="D124" s="10"/>
      <c r="E124" s="10"/>
      <c r="F124" s="10"/>
      <c r="G124" s="10" t="str">
        <f t="shared" si="13"/>
        <v/>
      </c>
      <c r="H124" s="11" t="str">
        <f t="shared" si="11"/>
        <v/>
      </c>
      <c r="I124" s="15" t="str">
        <f t="shared" si="12"/>
        <v>1900</v>
      </c>
    </row>
    <row r="125" spans="1:9" ht="15" customHeight="1">
      <c r="A125" s="9"/>
      <c r="B125" s="10" t="str">
        <f t="shared" si="8"/>
        <v/>
      </c>
      <c r="C125" s="10"/>
      <c r="D125" s="10"/>
      <c r="E125" s="10"/>
      <c r="F125" s="10"/>
      <c r="G125" s="10" t="str">
        <f t="shared" si="13"/>
        <v/>
      </c>
      <c r="H125" s="11" t="str">
        <f t="shared" si="11"/>
        <v/>
      </c>
      <c r="I125" s="15" t="str">
        <f t="shared" si="12"/>
        <v>1900</v>
      </c>
    </row>
    <row r="126" spans="1:9" ht="15" customHeight="1">
      <c r="A126" s="9"/>
      <c r="B126" s="10" t="str">
        <f t="shared" si="8"/>
        <v/>
      </c>
      <c r="C126" s="10"/>
      <c r="D126" s="10"/>
      <c r="E126" s="10"/>
      <c r="F126" s="10"/>
      <c r="G126" s="10" t="str">
        <f t="shared" si="13"/>
        <v/>
      </c>
      <c r="H126" s="11" t="str">
        <f t="shared" si="11"/>
        <v/>
      </c>
      <c r="I126" s="15" t="str">
        <f t="shared" si="12"/>
        <v>1900</v>
      </c>
    </row>
    <row r="127" spans="1:9" ht="15" customHeight="1">
      <c r="A127" s="9"/>
      <c r="B127" s="10" t="str">
        <f t="shared" si="8"/>
        <v/>
      </c>
      <c r="C127" s="10"/>
      <c r="D127" s="10"/>
      <c r="E127" s="10"/>
      <c r="F127" s="10"/>
      <c r="G127" s="10" t="str">
        <f t="shared" si="13"/>
        <v/>
      </c>
      <c r="H127" s="11" t="str">
        <f t="shared" si="11"/>
        <v/>
      </c>
      <c r="I127" s="15" t="str">
        <f t="shared" si="12"/>
        <v>1900</v>
      </c>
    </row>
    <row r="128" spans="1:9" ht="15" customHeight="1">
      <c r="A128" s="9"/>
      <c r="B128" s="10" t="str">
        <f t="shared" si="8"/>
        <v/>
      </c>
      <c r="C128" s="10"/>
      <c r="D128" s="10"/>
      <c r="E128" s="10"/>
      <c r="F128" s="10"/>
      <c r="G128" s="10" t="str">
        <f t="shared" si="13"/>
        <v/>
      </c>
      <c r="H128" s="11" t="str">
        <f t="shared" si="11"/>
        <v/>
      </c>
      <c r="I128" s="15" t="str">
        <f t="shared" si="12"/>
        <v>1900</v>
      </c>
    </row>
    <row r="129" spans="1:9" ht="15" customHeight="1">
      <c r="A129" s="9"/>
      <c r="B129" s="10" t="str">
        <f t="shared" si="8"/>
        <v/>
      </c>
      <c r="C129" s="10"/>
      <c r="D129" s="10"/>
      <c r="E129" s="10"/>
      <c r="F129" s="10"/>
      <c r="G129" s="10" t="str">
        <f t="shared" si="13"/>
        <v/>
      </c>
      <c r="H129" s="11" t="str">
        <f t="shared" si="11"/>
        <v/>
      </c>
      <c r="I129" s="15" t="str">
        <f t="shared" si="12"/>
        <v>1900</v>
      </c>
    </row>
    <row r="130" spans="1:9" ht="15" customHeight="1">
      <c r="A130" s="9"/>
      <c r="B130" s="10" t="str">
        <f t="shared" si="8"/>
        <v/>
      </c>
      <c r="C130" s="10"/>
      <c r="D130" s="10"/>
      <c r="E130" s="10"/>
      <c r="F130" s="10"/>
      <c r="G130" s="10" t="str">
        <f t="shared" si="13"/>
        <v/>
      </c>
      <c r="H130" s="11" t="str">
        <f t="shared" si="11"/>
        <v/>
      </c>
      <c r="I130" s="15" t="str">
        <f t="shared" ref="I130:I151" si="14">MID(TEXT(A130,"aaaa/mm/dd"),1,4)</f>
        <v>1900</v>
      </c>
    </row>
    <row r="131" spans="1:9" ht="15" customHeight="1">
      <c r="A131" s="9"/>
      <c r="B131" s="10" t="str">
        <f t="shared" ref="B131:B149" si="15">IF(A132&lt;&gt;"",_xlfn.DAYS(A132,A131),"")</f>
        <v/>
      </c>
      <c r="C131" s="10"/>
      <c r="D131" s="10"/>
      <c r="E131" s="10"/>
      <c r="F131" s="10"/>
      <c r="G131" s="10" t="str">
        <f t="shared" ref="G131:G149" si="16">IF(F132&lt;&gt;"",F132-F131,"")</f>
        <v/>
      </c>
      <c r="H131" s="11" t="str">
        <f t="shared" ref="H131:H151" si="17">IF(D131="","",D131/C131)</f>
        <v/>
      </c>
      <c r="I131" s="15" t="str">
        <f t="shared" si="14"/>
        <v>1900</v>
      </c>
    </row>
    <row r="132" spans="1:9" ht="15" customHeight="1">
      <c r="A132" s="9"/>
      <c r="B132" s="10" t="str">
        <f t="shared" si="15"/>
        <v/>
      </c>
      <c r="C132" s="10"/>
      <c r="D132" s="10"/>
      <c r="E132" s="10"/>
      <c r="F132" s="10"/>
      <c r="G132" s="10" t="str">
        <f t="shared" si="16"/>
        <v/>
      </c>
      <c r="H132" s="11" t="str">
        <f t="shared" si="17"/>
        <v/>
      </c>
      <c r="I132" s="15" t="str">
        <f t="shared" si="14"/>
        <v>1900</v>
      </c>
    </row>
    <row r="133" spans="1:9" ht="15" customHeight="1">
      <c r="A133" s="9"/>
      <c r="B133" s="10" t="str">
        <f t="shared" si="15"/>
        <v/>
      </c>
      <c r="C133" s="10"/>
      <c r="D133" s="10"/>
      <c r="E133" s="10"/>
      <c r="F133" s="10"/>
      <c r="G133" s="10" t="str">
        <f t="shared" si="16"/>
        <v/>
      </c>
      <c r="H133" s="11" t="str">
        <f t="shared" si="17"/>
        <v/>
      </c>
      <c r="I133" s="15" t="str">
        <f t="shared" si="14"/>
        <v>1900</v>
      </c>
    </row>
    <row r="134" spans="1:9" ht="15" customHeight="1">
      <c r="A134" s="9"/>
      <c r="B134" s="10" t="str">
        <f t="shared" si="15"/>
        <v/>
      </c>
      <c r="C134" s="10"/>
      <c r="D134" s="10"/>
      <c r="E134" s="10"/>
      <c r="F134" s="10"/>
      <c r="G134" s="10" t="str">
        <f t="shared" si="16"/>
        <v/>
      </c>
      <c r="H134" s="11" t="str">
        <f t="shared" si="17"/>
        <v/>
      </c>
      <c r="I134" s="15" t="str">
        <f t="shared" si="14"/>
        <v>1900</v>
      </c>
    </row>
    <row r="135" spans="1:9" ht="15" customHeight="1">
      <c r="A135" s="9"/>
      <c r="B135" s="10" t="str">
        <f t="shared" si="15"/>
        <v/>
      </c>
      <c r="C135" s="10"/>
      <c r="D135" s="10"/>
      <c r="E135" s="10"/>
      <c r="F135" s="10"/>
      <c r="G135" s="10" t="str">
        <f t="shared" si="16"/>
        <v/>
      </c>
      <c r="H135" s="11" t="str">
        <f t="shared" si="17"/>
        <v/>
      </c>
      <c r="I135" s="15" t="str">
        <f t="shared" si="14"/>
        <v>1900</v>
      </c>
    </row>
    <row r="136" spans="1:9" ht="15" customHeight="1">
      <c r="A136" s="9"/>
      <c r="B136" s="10" t="str">
        <f t="shared" si="15"/>
        <v/>
      </c>
      <c r="C136" s="10"/>
      <c r="D136" s="10"/>
      <c r="E136" s="10"/>
      <c r="F136" s="10"/>
      <c r="G136" s="10" t="str">
        <f t="shared" si="16"/>
        <v/>
      </c>
      <c r="H136" s="11" t="str">
        <f t="shared" si="17"/>
        <v/>
      </c>
      <c r="I136" s="15" t="str">
        <f t="shared" si="14"/>
        <v>1900</v>
      </c>
    </row>
    <row r="137" spans="1:9" ht="15" customHeight="1">
      <c r="A137" s="9"/>
      <c r="B137" s="10" t="str">
        <f t="shared" si="15"/>
        <v/>
      </c>
      <c r="C137" s="10"/>
      <c r="D137" s="10"/>
      <c r="E137" s="10"/>
      <c r="F137" s="10"/>
      <c r="G137" s="10" t="str">
        <f t="shared" si="16"/>
        <v/>
      </c>
      <c r="H137" s="11" t="str">
        <f t="shared" si="17"/>
        <v/>
      </c>
      <c r="I137" s="15" t="str">
        <f t="shared" si="14"/>
        <v>1900</v>
      </c>
    </row>
    <row r="138" spans="1:9" ht="15" customHeight="1">
      <c r="A138" s="9"/>
      <c r="B138" s="10" t="str">
        <f t="shared" si="15"/>
        <v/>
      </c>
      <c r="C138" s="10"/>
      <c r="D138" s="10"/>
      <c r="E138" s="10"/>
      <c r="F138" s="10"/>
      <c r="G138" s="10" t="str">
        <f t="shared" si="16"/>
        <v/>
      </c>
      <c r="H138" s="11" t="str">
        <f t="shared" si="17"/>
        <v/>
      </c>
      <c r="I138" s="15" t="str">
        <f t="shared" si="14"/>
        <v>1900</v>
      </c>
    </row>
    <row r="139" spans="1:9" ht="15" customHeight="1">
      <c r="A139" s="9"/>
      <c r="B139" s="10" t="str">
        <f t="shared" si="15"/>
        <v/>
      </c>
      <c r="C139" s="10"/>
      <c r="D139" s="10"/>
      <c r="E139" s="10"/>
      <c r="F139" s="10"/>
      <c r="G139" s="10" t="str">
        <f t="shared" si="16"/>
        <v/>
      </c>
      <c r="H139" s="11" t="str">
        <f t="shared" si="17"/>
        <v/>
      </c>
      <c r="I139" s="15" t="str">
        <f t="shared" si="14"/>
        <v>1900</v>
      </c>
    </row>
    <row r="140" spans="1:9" ht="15" customHeight="1">
      <c r="A140" s="9"/>
      <c r="B140" s="10" t="str">
        <f t="shared" si="15"/>
        <v/>
      </c>
      <c r="C140" s="10"/>
      <c r="D140" s="10"/>
      <c r="E140" s="10"/>
      <c r="F140" s="10"/>
      <c r="G140" s="10" t="str">
        <f t="shared" si="16"/>
        <v/>
      </c>
      <c r="H140" s="11" t="str">
        <f t="shared" si="17"/>
        <v/>
      </c>
      <c r="I140" s="15" t="str">
        <f t="shared" si="14"/>
        <v>1900</v>
      </c>
    </row>
    <row r="141" spans="1:9" ht="15" customHeight="1">
      <c r="A141" s="9"/>
      <c r="B141" s="10" t="str">
        <f t="shared" si="15"/>
        <v/>
      </c>
      <c r="C141" s="10"/>
      <c r="D141" s="10"/>
      <c r="E141" s="10"/>
      <c r="F141" s="10"/>
      <c r="G141" s="10" t="str">
        <f t="shared" si="16"/>
        <v/>
      </c>
      <c r="H141" s="11" t="str">
        <f t="shared" si="17"/>
        <v/>
      </c>
      <c r="I141" s="15" t="str">
        <f t="shared" si="14"/>
        <v>1900</v>
      </c>
    </row>
    <row r="142" spans="1:9" ht="15" customHeight="1">
      <c r="A142" s="9"/>
      <c r="B142" s="10" t="str">
        <f t="shared" si="15"/>
        <v/>
      </c>
      <c r="C142" s="10"/>
      <c r="D142" s="10"/>
      <c r="E142" s="10"/>
      <c r="F142" s="10"/>
      <c r="G142" s="10" t="str">
        <f t="shared" si="16"/>
        <v/>
      </c>
      <c r="H142" s="11" t="str">
        <f t="shared" si="17"/>
        <v/>
      </c>
      <c r="I142" s="15" t="str">
        <f t="shared" si="14"/>
        <v>1900</v>
      </c>
    </row>
    <row r="143" spans="1:9" ht="15" customHeight="1">
      <c r="A143" s="9"/>
      <c r="B143" s="10" t="str">
        <f t="shared" si="15"/>
        <v/>
      </c>
      <c r="C143" s="10"/>
      <c r="D143" s="10"/>
      <c r="E143" s="10"/>
      <c r="F143" s="10"/>
      <c r="G143" s="10" t="str">
        <f t="shared" si="16"/>
        <v/>
      </c>
      <c r="H143" s="11" t="str">
        <f t="shared" si="17"/>
        <v/>
      </c>
      <c r="I143" s="15" t="str">
        <f t="shared" si="14"/>
        <v>1900</v>
      </c>
    </row>
    <row r="144" spans="1:9" ht="15" customHeight="1">
      <c r="A144" s="9"/>
      <c r="B144" s="10" t="str">
        <f t="shared" si="15"/>
        <v/>
      </c>
      <c r="C144" s="10"/>
      <c r="D144" s="10"/>
      <c r="E144" s="10"/>
      <c r="F144" s="10"/>
      <c r="G144" s="10" t="str">
        <f t="shared" si="16"/>
        <v/>
      </c>
      <c r="H144" s="11" t="str">
        <f t="shared" si="17"/>
        <v/>
      </c>
      <c r="I144" s="15" t="str">
        <f t="shared" si="14"/>
        <v>1900</v>
      </c>
    </row>
    <row r="145" spans="1:9" ht="15" customHeight="1">
      <c r="A145" s="9"/>
      <c r="B145" s="10" t="str">
        <f t="shared" si="15"/>
        <v/>
      </c>
      <c r="C145" s="10"/>
      <c r="D145" s="10"/>
      <c r="E145" s="10"/>
      <c r="F145" s="10"/>
      <c r="G145" s="10" t="str">
        <f t="shared" si="16"/>
        <v/>
      </c>
      <c r="H145" s="11" t="str">
        <f t="shared" si="17"/>
        <v/>
      </c>
      <c r="I145" s="15" t="str">
        <f t="shared" si="14"/>
        <v>1900</v>
      </c>
    </row>
    <row r="146" spans="1:9" ht="15" customHeight="1">
      <c r="A146" s="9"/>
      <c r="B146" s="10" t="str">
        <f t="shared" si="15"/>
        <v/>
      </c>
      <c r="C146" s="10"/>
      <c r="D146" s="10"/>
      <c r="E146" s="10"/>
      <c r="F146" s="10"/>
      <c r="G146" s="10" t="str">
        <f t="shared" si="16"/>
        <v/>
      </c>
      <c r="H146" s="11" t="str">
        <f t="shared" si="17"/>
        <v/>
      </c>
      <c r="I146" s="15" t="str">
        <f t="shared" si="14"/>
        <v>1900</v>
      </c>
    </row>
    <row r="147" spans="1:9" ht="15" customHeight="1">
      <c r="A147" s="9"/>
      <c r="B147" s="10" t="str">
        <f t="shared" si="15"/>
        <v/>
      </c>
      <c r="C147" s="10"/>
      <c r="D147" s="10"/>
      <c r="E147" s="10"/>
      <c r="F147" s="10"/>
      <c r="G147" s="10" t="str">
        <f t="shared" si="16"/>
        <v/>
      </c>
      <c r="H147" s="11" t="str">
        <f t="shared" si="17"/>
        <v/>
      </c>
      <c r="I147" s="15" t="str">
        <f t="shared" si="14"/>
        <v>1900</v>
      </c>
    </row>
    <row r="148" spans="1:9" ht="15" customHeight="1">
      <c r="A148" s="9"/>
      <c r="B148" s="10" t="str">
        <f t="shared" si="15"/>
        <v/>
      </c>
      <c r="C148" s="10"/>
      <c r="D148" s="10"/>
      <c r="E148" s="10"/>
      <c r="F148" s="10"/>
      <c r="G148" s="10" t="str">
        <f t="shared" si="16"/>
        <v/>
      </c>
      <c r="H148" s="11" t="str">
        <f t="shared" si="17"/>
        <v/>
      </c>
      <c r="I148" s="15" t="str">
        <f t="shared" si="14"/>
        <v>1900</v>
      </c>
    </row>
    <row r="149" spans="1:9" ht="15" customHeight="1">
      <c r="A149" s="9"/>
      <c r="B149" s="10" t="str">
        <f t="shared" si="15"/>
        <v/>
      </c>
      <c r="C149" s="10"/>
      <c r="D149" s="10"/>
      <c r="E149" s="10"/>
      <c r="F149" s="10"/>
      <c r="G149" s="10" t="str">
        <f t="shared" si="16"/>
        <v/>
      </c>
      <c r="H149" s="11" t="str">
        <f t="shared" si="17"/>
        <v/>
      </c>
      <c r="I149" s="15" t="str">
        <f t="shared" si="14"/>
        <v>1900</v>
      </c>
    </row>
    <row r="150" spans="1:9" ht="15" customHeight="1">
      <c r="A150" s="9"/>
      <c r="B150" s="10"/>
      <c r="C150" s="10"/>
      <c r="D150" s="10"/>
      <c r="E150" s="10"/>
      <c r="F150" s="10"/>
      <c r="G150" s="10"/>
      <c r="H150" s="11" t="str">
        <f t="shared" si="17"/>
        <v/>
      </c>
      <c r="I150" s="15" t="str">
        <f t="shared" si="14"/>
        <v>1900</v>
      </c>
    </row>
    <row r="151" spans="1:9" ht="15" customHeight="1" thickBot="1">
      <c r="A151" s="20" t="s">
        <v>8</v>
      </c>
      <c r="B151" s="21"/>
      <c r="C151" s="21">
        <f>SUM(C2:C150)</f>
        <v>527.4</v>
      </c>
      <c r="D151" s="21">
        <f>SUM(D2:D150)</f>
        <v>660.68999999999994</v>
      </c>
      <c r="E151" s="21"/>
      <c r="F151" s="22">
        <f>MAX(F2:F150)</f>
        <v>31349.4</v>
      </c>
      <c r="G151" s="22">
        <f>SUM(G2:G150)</f>
        <v>21603.600000000002</v>
      </c>
      <c r="H151" s="23">
        <f t="shared" si="17"/>
        <v>1.252730375426621</v>
      </c>
      <c r="I151" s="15" t="str">
        <f t="shared" si="14"/>
        <v>Tota</v>
      </c>
    </row>
  </sheetData>
  <mergeCells count="3">
    <mergeCell ref="K2:L2"/>
    <mergeCell ref="K10:L10"/>
    <mergeCell ref="K28:M29"/>
  </mergeCells>
  <conditionalFormatting sqref="A2:H150">
    <cfRule type="expression" dxfId="262" priority="1">
      <formula>AND($A2&gt;=DATE(2014,1,1),$A2&lt;=DATE(2014,12,31))</formula>
    </cfRule>
    <cfRule type="expression" dxfId="261" priority="2">
      <formula>AND($A2&gt;=DATE(2015,1,1),$A2&lt;=DATE(2015,12,31))</formula>
    </cfRule>
    <cfRule type="expression" dxfId="260" priority="3">
      <formula>AND($A2&gt;=DATE(2019,1,1),$A2&lt;=DATE(2019,12,31))</formula>
    </cfRule>
    <cfRule type="expression" dxfId="259" priority="4">
      <formula>AND($A2&gt;=DATE(2018,1,1),$A2&lt;=DATE(2018,12,31))</formula>
    </cfRule>
    <cfRule type="expression" dxfId="258" priority="5">
      <formula>AND($A2&gt;=DATE(2017,1,1),$A2&lt;=DATE(2017,12,31))</formula>
    </cfRule>
    <cfRule type="expression" dxfId="257" priority="6">
      <formula>AND($A2&gt;=DATE(2011,1,1),$A2&lt;=DATE(2011,12,31))</formula>
    </cfRule>
    <cfRule type="expression" dxfId="256" priority="7">
      <formula>AND($A2&gt;=DATE(2016,1,1),$A2&lt;=DATE(2016,12,31))</formula>
    </cfRule>
    <cfRule type="expression" dxfId="255" priority="8">
      <formula>AND($A2&gt;=DATE(2013,1,1),$A2&lt;=DATE(2013,12,31))</formula>
    </cfRule>
    <cfRule type="expression" dxfId="254" priority="9">
      <formula>AND($A2&gt;=DATE(2012,1,1),$A2&lt;=DATE(2012,12,31))</formula>
    </cfRule>
    <cfRule type="expression" dxfId="253" priority="10">
      <formula>AND($A2&gt;=DATE(2011,1,1),$A2&lt;=DATE(2011,12,31))</formula>
    </cfRule>
  </conditionalFormatting>
  <pageMargins left="0.78749999999999998" right="0.78749999999999998" top="1.0249999999999999" bottom="1.0249999999999999" header="0.78749999999999998" footer="0.78749999999999998"/>
  <pageSetup paperSize="9" orientation="portrait" useFirstPageNumber="1" horizontalDpi="300" verticalDpi="300" r:id="rId1"/>
  <headerFooter>
    <oddHeader>&amp;C&amp;A</oddHeader>
    <oddFooter>&amp;CPágina &amp;P</oddFooter>
  </headerFooter>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W64"/>
  <sheetViews>
    <sheetView showGridLines="0" zoomScaleNormal="100" workbookViewId="0">
      <selection activeCell="R16" sqref="R16"/>
    </sheetView>
  </sheetViews>
  <sheetFormatPr defaultRowHeight="12.75"/>
  <cols>
    <col min="1" max="1" width="11.7109375" style="41" customWidth="1"/>
    <col min="2" max="2" width="11.140625" style="41" customWidth="1"/>
    <col min="3" max="3" width="12.140625" style="41" customWidth="1"/>
    <col min="4" max="4" width="9.140625" style="41" customWidth="1"/>
    <col min="5" max="16384" width="9.140625" style="41"/>
  </cols>
  <sheetData>
    <row r="1" spans="1:23">
      <c r="A1" s="24" t="s">
        <v>25</v>
      </c>
      <c r="B1" s="24" t="s">
        <v>26</v>
      </c>
      <c r="C1" s="24" t="s">
        <v>27</v>
      </c>
    </row>
    <row r="2" spans="1:23">
      <c r="A2" s="42" t="s">
        <v>18</v>
      </c>
      <c r="B2" s="43">
        <v>61.38</v>
      </c>
      <c r="C2" s="43">
        <v>79.339999999999989</v>
      </c>
    </row>
    <row r="3" spans="1:23">
      <c r="A3" s="42" t="s">
        <v>19</v>
      </c>
      <c r="B3" s="43">
        <v>67</v>
      </c>
      <c r="C3" s="43">
        <v>95.649999999999991</v>
      </c>
    </row>
    <row r="4" spans="1:23">
      <c r="A4" s="42" t="s">
        <v>20</v>
      </c>
      <c r="B4" s="43">
        <v>26.07</v>
      </c>
      <c r="C4" s="43">
        <v>38.380000000000003</v>
      </c>
      <c r="Q4" s="44"/>
      <c r="R4" s="44"/>
      <c r="S4" s="44"/>
      <c r="T4" s="44"/>
      <c r="U4" s="44"/>
      <c r="V4" s="44"/>
      <c r="W4" s="44"/>
    </row>
    <row r="5" spans="1:23">
      <c r="A5" s="42" t="s">
        <v>60</v>
      </c>
      <c r="B5" s="43">
        <v>18.73</v>
      </c>
      <c r="C5" s="43">
        <v>28.094999999999999</v>
      </c>
      <c r="Q5" s="44"/>
      <c r="R5" s="44"/>
      <c r="S5" s="44"/>
      <c r="T5" s="44"/>
      <c r="U5" s="44"/>
      <c r="V5" s="44"/>
      <c r="W5" s="44"/>
    </row>
    <row r="6" spans="1:23">
      <c r="A6" s="42" t="s">
        <v>61</v>
      </c>
      <c r="B6" s="43">
        <v>18.73</v>
      </c>
      <c r="C6" s="43">
        <v>28.094999999999999</v>
      </c>
      <c r="Q6" s="44"/>
      <c r="R6" s="44"/>
      <c r="S6" s="44"/>
      <c r="T6" s="44"/>
      <c r="U6" s="44"/>
      <c r="V6" s="44"/>
      <c r="W6" s="44"/>
    </row>
    <row r="7" spans="1:23">
      <c r="A7" s="42" t="s">
        <v>21</v>
      </c>
      <c r="B7" s="43">
        <v>75.33</v>
      </c>
      <c r="C7" s="43">
        <v>86.13</v>
      </c>
      <c r="Q7" s="44"/>
      <c r="R7" s="44"/>
      <c r="S7" s="44"/>
      <c r="T7" s="44"/>
      <c r="U7" s="44"/>
      <c r="V7" s="44"/>
      <c r="W7" s="44"/>
    </row>
    <row r="8" spans="1:23">
      <c r="A8" s="42" t="s">
        <v>22</v>
      </c>
      <c r="B8" s="43">
        <v>111.04999999999998</v>
      </c>
      <c r="C8" s="43">
        <v>125</v>
      </c>
      <c r="Q8" s="44"/>
      <c r="R8" s="44"/>
      <c r="S8" s="44"/>
      <c r="T8" s="44"/>
      <c r="U8" s="44"/>
      <c r="V8" s="44"/>
      <c r="W8" s="44"/>
    </row>
    <row r="9" spans="1:23">
      <c r="A9" s="42" t="s">
        <v>23</v>
      </c>
      <c r="B9" s="43">
        <v>102.73000000000002</v>
      </c>
      <c r="C9" s="43">
        <v>125</v>
      </c>
      <c r="Q9" s="44"/>
      <c r="R9" s="44"/>
      <c r="S9" s="44"/>
      <c r="T9" s="44"/>
      <c r="U9" s="44"/>
      <c r="V9" s="44"/>
      <c r="W9" s="44"/>
    </row>
    <row r="10" spans="1:23">
      <c r="A10" s="42" t="s">
        <v>24</v>
      </c>
      <c r="B10" s="43">
        <v>46.38000000000001</v>
      </c>
      <c r="C10" s="43">
        <v>55</v>
      </c>
      <c r="Q10" s="44"/>
      <c r="R10" s="44"/>
      <c r="S10" s="44"/>
      <c r="T10" s="44"/>
      <c r="U10" s="44"/>
      <c r="V10" s="44"/>
      <c r="W10" s="44"/>
    </row>
    <row r="11" spans="1:23">
      <c r="A11" s="42" t="s">
        <v>17</v>
      </c>
      <c r="B11" s="43">
        <v>527.4</v>
      </c>
      <c r="C11" s="43">
        <v>660.68999999999994</v>
      </c>
      <c r="Q11" s="44"/>
      <c r="R11" s="44"/>
      <c r="S11" s="44"/>
      <c r="T11" s="44"/>
      <c r="U11" s="44"/>
      <c r="V11" s="44"/>
      <c r="W11" s="44"/>
    </row>
    <row r="12" spans="1:23">
      <c r="A12" s="24"/>
      <c r="B12" s="24"/>
      <c r="C12" s="24"/>
      <c r="Q12" s="44"/>
      <c r="R12" s="44"/>
      <c r="S12" s="44"/>
      <c r="T12" s="44"/>
      <c r="U12" s="44"/>
      <c r="V12" s="44"/>
      <c r="W12" s="44"/>
    </row>
    <row r="13" spans="1:23">
      <c r="A13" s="24"/>
      <c r="B13" s="24"/>
      <c r="C13" s="24"/>
      <c r="Q13" s="44"/>
      <c r="R13" s="44"/>
      <c r="S13" s="44"/>
      <c r="T13" s="44"/>
      <c r="U13" s="44"/>
      <c r="V13" s="44"/>
      <c r="W13" s="44"/>
    </row>
    <row r="14" spans="1:23">
      <c r="A14" s="24"/>
      <c r="B14" s="24"/>
      <c r="C14" s="24"/>
      <c r="Q14" s="24"/>
      <c r="R14" s="44"/>
      <c r="S14" s="44"/>
      <c r="T14" s="44"/>
      <c r="U14" s="44"/>
      <c r="V14" s="44"/>
      <c r="W14" s="44"/>
    </row>
    <row r="15" spans="1:23">
      <c r="A15" s="24"/>
      <c r="B15" s="24"/>
      <c r="C15" s="24"/>
      <c r="Q15" s="24"/>
      <c r="R15" s="44"/>
      <c r="S15" s="44"/>
      <c r="T15" s="44"/>
      <c r="U15" s="44"/>
      <c r="V15" s="44"/>
      <c r="W15" s="44"/>
    </row>
    <row r="16" spans="1:23">
      <c r="A16" s="24"/>
      <c r="B16" s="24"/>
      <c r="C16" s="24"/>
      <c r="Q16" s="24"/>
      <c r="R16" s="44"/>
      <c r="S16" s="44"/>
      <c r="T16" s="44"/>
      <c r="U16" s="44"/>
      <c r="V16" s="44"/>
      <c r="W16" s="44"/>
    </row>
    <row r="17" spans="1:23">
      <c r="A17" s="24"/>
      <c r="B17" s="24"/>
      <c r="C17" s="24"/>
      <c r="Q17" s="24"/>
      <c r="R17" s="44"/>
      <c r="S17" s="44"/>
      <c r="T17" s="44"/>
      <c r="U17" s="44"/>
      <c r="V17" s="44"/>
      <c r="W17" s="44"/>
    </row>
    <row r="18" spans="1:23">
      <c r="A18" s="24"/>
      <c r="B18" s="24"/>
      <c r="C18" s="24"/>
      <c r="Q18" s="24"/>
      <c r="R18" s="44"/>
      <c r="S18" s="44"/>
      <c r="T18" s="44"/>
      <c r="U18" s="44"/>
      <c r="V18" s="44"/>
      <c r="W18" s="44"/>
    </row>
    <row r="19" spans="1:23">
      <c r="A19" s="24"/>
      <c r="B19" s="24"/>
      <c r="C19" s="24"/>
      <c r="Q19" s="24"/>
      <c r="R19" s="44"/>
      <c r="S19" s="44"/>
      <c r="T19" s="44"/>
      <c r="U19" s="44"/>
      <c r="V19" s="44"/>
      <c r="W19" s="44"/>
    </row>
    <row r="20" spans="1:23">
      <c r="A20" s="24"/>
      <c r="B20" s="24"/>
      <c r="C20" s="24"/>
      <c r="Q20" s="24"/>
      <c r="R20" s="44"/>
      <c r="S20" s="44"/>
      <c r="T20" s="44"/>
      <c r="U20" s="44"/>
      <c r="V20" s="44"/>
      <c r="W20" s="44"/>
    </row>
    <row r="21" spans="1:23">
      <c r="A21" s="24"/>
      <c r="B21" s="24"/>
      <c r="C21" s="24"/>
      <c r="Q21" s="24"/>
      <c r="R21" s="44"/>
      <c r="S21" s="44"/>
      <c r="T21" s="44"/>
      <c r="U21" s="44"/>
      <c r="V21" s="44"/>
      <c r="W21" s="44"/>
    </row>
    <row r="22" spans="1:23" ht="15">
      <c r="A22" s="24"/>
      <c r="B22" s="24"/>
      <c r="C22" s="24"/>
      <c r="Q22" s="44"/>
      <c r="R22" s="44"/>
      <c r="S22" s="45"/>
      <c r="T22" s="44"/>
      <c r="U22" s="44"/>
      <c r="V22" s="44"/>
      <c r="W22" s="44"/>
    </row>
    <row r="23" spans="1:23">
      <c r="A23" s="24"/>
      <c r="B23" s="24"/>
      <c r="C23" s="24"/>
    </row>
    <row r="24" spans="1:23">
      <c r="A24" s="24"/>
      <c r="B24" s="24"/>
      <c r="C24" s="24"/>
    </row>
    <row r="25" spans="1:23">
      <c r="A25" s="24"/>
      <c r="B25" s="24"/>
      <c r="C25" s="24"/>
    </row>
    <row r="26" spans="1:23">
      <c r="A26" s="24"/>
      <c r="B26" s="24"/>
      <c r="C26" s="24"/>
    </row>
    <row r="27" spans="1:23">
      <c r="A27" s="24"/>
      <c r="B27" s="24"/>
      <c r="C27" s="24"/>
    </row>
    <row r="28" spans="1:23">
      <c r="A28" s="24"/>
      <c r="B28" s="24"/>
      <c r="C28" s="24"/>
    </row>
    <row r="29" spans="1:23">
      <c r="A29" s="24"/>
      <c r="B29" s="24"/>
      <c r="C29" s="24"/>
    </row>
    <row r="30" spans="1:23">
      <c r="A30" s="24"/>
      <c r="B30" s="24"/>
      <c r="C30" s="24"/>
    </row>
    <row r="31" spans="1:23">
      <c r="A31" s="24"/>
      <c r="B31" s="24"/>
      <c r="C31" s="24"/>
    </row>
    <row r="32" spans="1:23">
      <c r="A32" s="24"/>
      <c r="B32" s="24"/>
      <c r="C32" s="24"/>
    </row>
    <row r="33" spans="1:3">
      <c r="A33" s="24"/>
      <c r="B33" s="24"/>
      <c r="C33" s="24"/>
    </row>
    <row r="34" spans="1:3">
      <c r="A34" s="24"/>
      <c r="B34" s="24"/>
      <c r="C34" s="24"/>
    </row>
    <row r="35" spans="1:3">
      <c r="A35" s="24"/>
      <c r="B35" s="24"/>
      <c r="C35" s="24"/>
    </row>
    <row r="36" spans="1:3">
      <c r="A36" s="24"/>
      <c r="B36" s="24"/>
      <c r="C36" s="24"/>
    </row>
    <row r="37" spans="1:3">
      <c r="A37" s="24"/>
      <c r="B37" s="24"/>
      <c r="C37" s="24"/>
    </row>
    <row r="38" spans="1:3">
      <c r="A38" s="24"/>
      <c r="B38" s="24"/>
      <c r="C38" s="24"/>
    </row>
    <row r="39" spans="1:3">
      <c r="A39" s="24"/>
      <c r="B39" s="24"/>
      <c r="C39" s="24"/>
    </row>
    <row r="40" spans="1:3">
      <c r="A40" s="24"/>
      <c r="B40" s="24"/>
      <c r="C40" s="24"/>
    </row>
    <row r="41" spans="1:3">
      <c r="A41" s="24"/>
      <c r="B41" s="24"/>
      <c r="C41" s="24"/>
    </row>
    <row r="42" spans="1:3">
      <c r="A42" s="24"/>
      <c r="B42" s="24"/>
      <c r="C42" s="24"/>
    </row>
    <row r="43" spans="1:3">
      <c r="A43" s="24"/>
      <c r="B43" s="24"/>
      <c r="C43" s="24"/>
    </row>
    <row r="44" spans="1:3">
      <c r="A44" s="24"/>
      <c r="B44" s="24"/>
      <c r="C44" s="24"/>
    </row>
    <row r="45" spans="1:3">
      <c r="A45" s="24"/>
      <c r="B45" s="24"/>
      <c r="C45" s="24"/>
    </row>
    <row r="46" spans="1:3">
      <c r="A46" s="24"/>
      <c r="B46" s="24"/>
      <c r="C46" s="24"/>
    </row>
    <row r="47" spans="1:3">
      <c r="A47" s="24"/>
      <c r="B47" s="24"/>
      <c r="C47" s="24"/>
    </row>
    <row r="48" spans="1:3">
      <c r="A48" s="24"/>
      <c r="B48" s="24"/>
      <c r="C48" s="24"/>
    </row>
    <row r="49" spans="1:3">
      <c r="A49" s="24"/>
      <c r="B49" s="24"/>
      <c r="C49" s="24"/>
    </row>
    <row r="50" spans="1:3">
      <c r="A50" s="24"/>
      <c r="B50" s="24"/>
      <c r="C50" s="24"/>
    </row>
    <row r="51" spans="1:3">
      <c r="A51" s="24"/>
      <c r="B51" s="24"/>
      <c r="C51" s="24"/>
    </row>
    <row r="52" spans="1:3">
      <c r="A52" s="24"/>
      <c r="B52" s="24"/>
      <c r="C52" s="24"/>
    </row>
    <row r="53" spans="1:3">
      <c r="A53" s="24"/>
      <c r="B53" s="24"/>
      <c r="C53" s="24"/>
    </row>
    <row r="54" spans="1:3">
      <c r="A54" s="24"/>
      <c r="B54" s="24"/>
      <c r="C54" s="24"/>
    </row>
    <row r="55" spans="1:3">
      <c r="A55" s="24"/>
      <c r="B55" s="24"/>
      <c r="C55" s="24"/>
    </row>
    <row r="56" spans="1:3">
      <c r="A56" s="24"/>
      <c r="B56" s="24"/>
      <c r="C56" s="24"/>
    </row>
    <row r="57" spans="1:3">
      <c r="A57" s="24"/>
      <c r="B57" s="24"/>
      <c r="C57" s="24"/>
    </row>
    <row r="58" spans="1:3">
      <c r="A58" s="24"/>
      <c r="B58" s="24"/>
      <c r="C58" s="24"/>
    </row>
    <row r="59" spans="1:3">
      <c r="A59" s="24"/>
      <c r="B59" s="24"/>
      <c r="C59" s="24"/>
    </row>
    <row r="60" spans="1:3">
      <c r="A60" s="24"/>
      <c r="B60" s="24"/>
      <c r="C60" s="24"/>
    </row>
    <row r="61" spans="1:3">
      <c r="A61" s="24"/>
      <c r="B61" s="24"/>
      <c r="C61" s="24"/>
    </row>
    <row r="62" spans="1:3">
      <c r="A62" s="24"/>
      <c r="B62" s="24"/>
      <c r="C62" s="24"/>
    </row>
    <row r="63" spans="1:3">
      <c r="A63" s="24"/>
      <c r="B63" s="24"/>
      <c r="C63" s="24"/>
    </row>
    <row r="64" spans="1:3">
      <c r="A64" s="24"/>
      <c r="B64" s="24"/>
      <c r="C64" s="24"/>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64"/>
  <sheetViews>
    <sheetView showGridLines="0" workbookViewId="0">
      <selection activeCell="D45" sqref="D45"/>
    </sheetView>
  </sheetViews>
  <sheetFormatPr defaultRowHeight="12.75"/>
  <cols>
    <col min="1" max="1" width="11.7109375" style="40" customWidth="1"/>
    <col min="2" max="2" width="14.7109375" style="40" bestFit="1" customWidth="1"/>
    <col min="3" max="3" width="22" style="40" bestFit="1" customWidth="1"/>
    <col min="4" max="16384" width="9.140625" style="40"/>
  </cols>
  <sheetData>
    <row r="1" spans="1:3">
      <c r="A1" s="40" t="s">
        <v>42</v>
      </c>
      <c r="B1" s="40" t="s">
        <v>41</v>
      </c>
      <c r="C1" s="40" t="s">
        <v>40</v>
      </c>
    </row>
    <row r="2" spans="1:3">
      <c r="A2" s="46" t="s">
        <v>18</v>
      </c>
      <c r="B2" s="47"/>
      <c r="C2" s="47"/>
    </row>
    <row r="3" spans="1:3">
      <c r="A3" s="48" t="s">
        <v>28</v>
      </c>
      <c r="B3" s="49">
        <v>1.31</v>
      </c>
      <c r="C3" s="49">
        <v>1.315798585862783</v>
      </c>
    </row>
    <row r="4" spans="1:3">
      <c r="A4" s="48" t="s">
        <v>29</v>
      </c>
      <c r="B4" s="49">
        <v>1.3390000000000002</v>
      </c>
      <c r="C4" s="49">
        <v>1.319</v>
      </c>
    </row>
    <row r="5" spans="1:3">
      <c r="A5" s="48" t="s">
        <v>30</v>
      </c>
      <c r="B5" s="49">
        <v>1.33</v>
      </c>
      <c r="C5" s="49">
        <v>1.3320000000000001</v>
      </c>
    </row>
    <row r="6" spans="1:3">
      <c r="A6" s="48" t="s">
        <v>31</v>
      </c>
      <c r="B6" s="49">
        <v>1.3033333333333335</v>
      </c>
      <c r="C6" s="49">
        <v>1.2055837742504409</v>
      </c>
    </row>
    <row r="7" spans="1:3">
      <c r="A7" s="48" t="s">
        <v>32</v>
      </c>
      <c r="B7" s="49">
        <v>1.31</v>
      </c>
      <c r="C7" s="49">
        <v>1.3130000000000002</v>
      </c>
    </row>
    <row r="8" spans="1:3">
      <c r="A8" s="46" t="s">
        <v>19</v>
      </c>
      <c r="B8" s="49"/>
      <c r="C8" s="49"/>
    </row>
    <row r="9" spans="1:3">
      <c r="A9" s="48" t="s">
        <v>33</v>
      </c>
      <c r="B9" s="49">
        <v>1.4024999999999999</v>
      </c>
      <c r="C9" s="49">
        <v>1.403</v>
      </c>
    </row>
    <row r="10" spans="1:3">
      <c r="A10" s="48" t="s">
        <v>34</v>
      </c>
      <c r="B10" s="49">
        <v>1.4295</v>
      </c>
      <c r="C10" s="49">
        <v>1.4300000000000002</v>
      </c>
    </row>
    <row r="11" spans="1:3">
      <c r="A11" s="48" t="s">
        <v>35</v>
      </c>
      <c r="B11" s="49">
        <v>1.4790000000000001</v>
      </c>
      <c r="C11" s="49">
        <v>1.4289999999999998</v>
      </c>
    </row>
    <row r="12" spans="1:3">
      <c r="A12" s="48" t="s">
        <v>36</v>
      </c>
      <c r="B12" s="49">
        <v>1.5149999999999999</v>
      </c>
      <c r="C12" s="49">
        <v>1.5150000000000001</v>
      </c>
    </row>
    <row r="13" spans="1:3">
      <c r="A13" s="48" t="s">
        <v>37</v>
      </c>
      <c r="B13" s="49">
        <v>1.427</v>
      </c>
      <c r="C13" s="49">
        <v>1.427</v>
      </c>
    </row>
    <row r="14" spans="1:3">
      <c r="A14" s="48" t="s">
        <v>38</v>
      </c>
      <c r="B14" s="49">
        <v>1.39</v>
      </c>
      <c r="C14" s="49">
        <v>1.395</v>
      </c>
    </row>
    <row r="15" spans="1:3">
      <c r="A15" s="48" t="s">
        <v>39</v>
      </c>
      <c r="B15" s="49">
        <v>1.39</v>
      </c>
      <c r="C15" s="49">
        <v>1.3880000000000001</v>
      </c>
    </row>
    <row r="16" spans="1:3">
      <c r="A16" s="46" t="s">
        <v>20</v>
      </c>
      <c r="B16" s="49"/>
      <c r="C16" s="49"/>
    </row>
    <row r="17" spans="1:3">
      <c r="A17" s="48" t="s">
        <v>37</v>
      </c>
      <c r="B17" s="49">
        <v>1.4766666666666666</v>
      </c>
      <c r="C17" s="49">
        <v>1.4808133167627009</v>
      </c>
    </row>
    <row r="18" spans="1:3">
      <c r="A18" s="48" t="s">
        <v>38</v>
      </c>
      <c r="B18" s="49">
        <v>1.47</v>
      </c>
      <c r="C18" s="49">
        <v>1.4792899408284024</v>
      </c>
    </row>
    <row r="19" spans="1:3">
      <c r="A19" s="48" t="s">
        <v>39</v>
      </c>
      <c r="B19" s="49">
        <v>1.5</v>
      </c>
      <c r="C19" s="49">
        <v>1.5060240963855422</v>
      </c>
    </row>
    <row r="20" spans="1:3">
      <c r="A20" s="48" t="s">
        <v>29</v>
      </c>
      <c r="B20" s="49">
        <v>1.5</v>
      </c>
      <c r="C20" s="49">
        <v>1.44</v>
      </c>
    </row>
    <row r="21" spans="1:3">
      <c r="A21" s="46" t="s">
        <v>60</v>
      </c>
      <c r="B21" s="47"/>
      <c r="C21" s="47"/>
    </row>
    <row r="22" spans="1:3">
      <c r="A22" s="48" t="s">
        <v>32</v>
      </c>
      <c r="B22" s="47">
        <v>1.5</v>
      </c>
      <c r="C22" s="47">
        <v>1.5</v>
      </c>
    </row>
    <row r="23" spans="1:3">
      <c r="A23" s="46" t="s">
        <v>61</v>
      </c>
      <c r="B23" s="47"/>
      <c r="C23" s="47"/>
    </row>
    <row r="24" spans="1:3">
      <c r="A24" s="48" t="s">
        <v>32</v>
      </c>
      <c r="B24" s="47">
        <v>1.5</v>
      </c>
      <c r="C24" s="47">
        <v>1.5</v>
      </c>
    </row>
    <row r="25" spans="1:3">
      <c r="A25" s="46" t="s">
        <v>21</v>
      </c>
      <c r="B25" s="49"/>
      <c r="C25" s="49"/>
    </row>
    <row r="26" spans="1:3">
      <c r="A26" s="48" t="s">
        <v>37</v>
      </c>
      <c r="B26" s="49">
        <v>1.2050000000000001</v>
      </c>
      <c r="C26" s="49">
        <v>1.2048192771084336</v>
      </c>
    </row>
    <row r="27" spans="1:3">
      <c r="A27" s="48" t="s">
        <v>38</v>
      </c>
      <c r="B27" s="49">
        <v>1.2050000000000001</v>
      </c>
      <c r="C27" s="49">
        <v>1.2048192771084336</v>
      </c>
    </row>
    <row r="28" spans="1:3">
      <c r="A28" s="48" t="s">
        <v>39</v>
      </c>
      <c r="B28" s="49">
        <v>1.21</v>
      </c>
      <c r="C28" s="49">
        <v>1.1666666666666665</v>
      </c>
    </row>
    <row r="29" spans="1:3">
      <c r="A29" s="48" t="s">
        <v>28</v>
      </c>
      <c r="B29" s="49">
        <v>1.69</v>
      </c>
      <c r="C29" s="49">
        <v>1.1191588785046729</v>
      </c>
    </row>
    <row r="30" spans="1:3">
      <c r="A30" s="48" t="s">
        <v>29</v>
      </c>
      <c r="B30" s="49">
        <v>1.1549999999999998</v>
      </c>
      <c r="C30" s="49">
        <v>1.159507965315588</v>
      </c>
    </row>
    <row r="31" spans="1:3">
      <c r="A31" s="48" t="s">
        <v>30</v>
      </c>
      <c r="B31" s="49">
        <v>1.06</v>
      </c>
      <c r="C31" s="49">
        <v>1.0593220338983051</v>
      </c>
    </row>
    <row r="32" spans="1:3">
      <c r="A32" s="48" t="s">
        <v>31</v>
      </c>
      <c r="B32" s="49">
        <v>1.0900000000000001</v>
      </c>
      <c r="C32" s="49">
        <v>1.0888248752326422</v>
      </c>
    </row>
    <row r="33" spans="1:3">
      <c r="A33" s="48" t="s">
        <v>32</v>
      </c>
      <c r="B33" s="49">
        <v>1.1200000000000001</v>
      </c>
      <c r="C33" s="49">
        <v>1.1185682326621924</v>
      </c>
    </row>
    <row r="34" spans="1:3">
      <c r="A34" s="46" t="s">
        <v>22</v>
      </c>
      <c r="B34" s="49"/>
      <c r="C34" s="49"/>
    </row>
    <row r="35" spans="1:3">
      <c r="A35" s="48" t="s">
        <v>33</v>
      </c>
      <c r="B35" s="49">
        <v>1.1599999999999999</v>
      </c>
      <c r="C35" s="49">
        <v>1.1587485515643103</v>
      </c>
    </row>
    <row r="36" spans="1:3">
      <c r="A36" s="48" t="s">
        <v>34</v>
      </c>
      <c r="B36" s="49">
        <v>1.1599999999999999</v>
      </c>
      <c r="C36" s="49">
        <v>1.1587485515643103</v>
      </c>
    </row>
    <row r="37" spans="1:3">
      <c r="A37" s="48" t="s">
        <v>35</v>
      </c>
      <c r="B37" s="49">
        <v>1.17</v>
      </c>
      <c r="C37" s="49">
        <v>1.0970904036046401</v>
      </c>
    </row>
    <row r="38" spans="1:3">
      <c r="A38" s="48" t="s">
        <v>36</v>
      </c>
      <c r="B38" s="49">
        <v>1.1549999999999998</v>
      </c>
      <c r="C38" s="49">
        <v>1.174802958517873</v>
      </c>
    </row>
    <row r="39" spans="1:3">
      <c r="A39" s="48" t="s">
        <v>37</v>
      </c>
      <c r="B39" s="49">
        <v>1.1850000000000001</v>
      </c>
      <c r="C39" s="49">
        <v>1.1842841163310962</v>
      </c>
    </row>
    <row r="40" spans="1:3">
      <c r="A40" s="48" t="s">
        <v>38</v>
      </c>
      <c r="B40" s="49">
        <v>1.08</v>
      </c>
      <c r="C40" s="49">
        <v>1.0834554128164675</v>
      </c>
    </row>
    <row r="41" spans="1:3">
      <c r="A41" s="48" t="s">
        <v>39</v>
      </c>
      <c r="B41" s="49">
        <v>1.07</v>
      </c>
      <c r="C41" s="49">
        <v>1.0764262648008613</v>
      </c>
    </row>
    <row r="42" spans="1:3">
      <c r="A42" s="48" t="s">
        <v>29</v>
      </c>
      <c r="B42" s="49">
        <v>1.1100000000000001</v>
      </c>
      <c r="C42" s="49">
        <v>1.1074197120708749</v>
      </c>
    </row>
    <row r="43" spans="1:3">
      <c r="A43" s="48" t="s">
        <v>30</v>
      </c>
      <c r="B43" s="49">
        <v>1.0900000000000001</v>
      </c>
      <c r="C43" s="49">
        <v>1.0869565217391306</v>
      </c>
    </row>
    <row r="44" spans="1:3">
      <c r="A44" s="48" t="s">
        <v>31</v>
      </c>
      <c r="B44" s="49">
        <v>1.1349999999999998</v>
      </c>
      <c r="C44" s="49">
        <v>1.1364575584759069</v>
      </c>
    </row>
    <row r="45" spans="1:3">
      <c r="A45" s="48" t="s">
        <v>32</v>
      </c>
      <c r="B45" s="49">
        <v>1.1499999999999999</v>
      </c>
      <c r="C45" s="49">
        <v>1.1574074074074074</v>
      </c>
    </row>
    <row r="46" spans="1:3">
      <c r="A46" s="46" t="s">
        <v>23</v>
      </c>
      <c r="B46" s="49"/>
      <c r="C46" s="49"/>
    </row>
    <row r="47" spans="1:3">
      <c r="A47" s="48" t="s">
        <v>33</v>
      </c>
      <c r="B47" s="49">
        <v>1.1599999999999999</v>
      </c>
      <c r="C47" s="49">
        <v>1.1668611435239207</v>
      </c>
    </row>
    <row r="48" spans="1:3">
      <c r="A48" s="48" t="s">
        <v>35</v>
      </c>
      <c r="B48" s="49">
        <v>1.1599999999999999</v>
      </c>
      <c r="C48" s="49">
        <v>1.1574074074074074</v>
      </c>
    </row>
    <row r="49" spans="1:3">
      <c r="A49" s="48" t="s">
        <v>36</v>
      </c>
      <c r="B49" s="49">
        <v>1.1749999999999998</v>
      </c>
      <c r="C49" s="49">
        <v>1.1760752688172045</v>
      </c>
    </row>
    <row r="50" spans="1:3">
      <c r="A50" s="48" t="s">
        <v>37</v>
      </c>
      <c r="B50" s="49">
        <v>1.23</v>
      </c>
      <c r="C50" s="49">
        <v>1.2345679012345681</v>
      </c>
    </row>
    <row r="51" spans="1:3">
      <c r="A51" s="48" t="s">
        <v>38</v>
      </c>
      <c r="B51" s="49">
        <v>1.2466666666666668</v>
      </c>
      <c r="C51" s="49">
        <v>1.2521992406832168</v>
      </c>
    </row>
    <row r="52" spans="1:3">
      <c r="A52" s="48" t="s">
        <v>39</v>
      </c>
      <c r="B52" s="49">
        <v>1.24</v>
      </c>
      <c r="C52" s="49">
        <v>1.2437810945273633</v>
      </c>
    </row>
    <row r="53" spans="1:3">
      <c r="A53" s="48" t="s">
        <v>28</v>
      </c>
      <c r="B53" s="49">
        <v>1.24</v>
      </c>
      <c r="C53" s="49">
        <v>1.2453300124533002</v>
      </c>
    </row>
    <row r="54" spans="1:3">
      <c r="A54" s="48" t="s">
        <v>29</v>
      </c>
      <c r="B54" s="49">
        <v>1.25</v>
      </c>
      <c r="C54" s="49">
        <v>1.256281407035176</v>
      </c>
    </row>
    <row r="55" spans="1:3">
      <c r="A55" s="48" t="s">
        <v>30</v>
      </c>
      <c r="B55" s="49">
        <v>1.2549999999999999</v>
      </c>
      <c r="C55" s="49">
        <v>1.2610520959226512</v>
      </c>
    </row>
    <row r="56" spans="1:3">
      <c r="A56" s="48" t="s">
        <v>31</v>
      </c>
      <c r="B56" s="49">
        <v>1.2566666666666666</v>
      </c>
      <c r="C56" s="49">
        <v>1.262116904637115</v>
      </c>
    </row>
    <row r="57" spans="1:3">
      <c r="A57" s="48" t="s">
        <v>32</v>
      </c>
      <c r="B57" s="49">
        <v>1.1000000000000001</v>
      </c>
      <c r="C57" s="49">
        <v>1.1049723756906076</v>
      </c>
    </row>
    <row r="58" spans="1:3">
      <c r="A58" s="46" t="s">
        <v>24</v>
      </c>
      <c r="B58" s="49"/>
      <c r="C58" s="49"/>
    </row>
    <row r="59" spans="1:3">
      <c r="A59" s="48" t="s">
        <v>33</v>
      </c>
      <c r="B59" s="49">
        <v>1.1000000000000001</v>
      </c>
      <c r="C59" s="49">
        <v>1.1049723756906076</v>
      </c>
    </row>
    <row r="60" spans="1:3">
      <c r="A60" s="48" t="s">
        <v>34</v>
      </c>
      <c r="B60" s="49">
        <v>1.1200000000000001</v>
      </c>
      <c r="C60" s="49">
        <v>1.124859392575928</v>
      </c>
    </row>
    <row r="61" spans="1:3">
      <c r="A61" s="48" t="s">
        <v>35</v>
      </c>
      <c r="B61" s="49">
        <v>1.1599999999999999</v>
      </c>
      <c r="C61" s="49">
        <v>1.1655011655011656</v>
      </c>
    </row>
    <row r="62" spans="1:3">
      <c r="A62" s="48" t="s">
        <v>36</v>
      </c>
      <c r="B62" s="49">
        <v>1.23</v>
      </c>
      <c r="C62" s="49">
        <v>1.2254901960784315</v>
      </c>
    </row>
    <row r="63" spans="1:3">
      <c r="A63" s="48" t="s">
        <v>37</v>
      </c>
      <c r="B63" s="47">
        <v>1.2850000000000001</v>
      </c>
      <c r="C63" s="49">
        <v>1.2854234958231996</v>
      </c>
    </row>
    <row r="64" spans="1:3">
      <c r="A64" s="46" t="s">
        <v>17</v>
      </c>
      <c r="B64" s="49">
        <v>1.2657564102564101</v>
      </c>
      <c r="C64" s="49">
        <v>1.2526585445320984</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64"/>
  <sheetViews>
    <sheetView showGridLines="0" workbookViewId="0">
      <selection activeCell="A2" sqref="A2"/>
    </sheetView>
  </sheetViews>
  <sheetFormatPr defaultRowHeight="12.75"/>
  <cols>
    <col min="1" max="1" width="11.7109375" style="50" customWidth="1"/>
    <col min="2" max="2" width="22.5703125" style="50" bestFit="1" customWidth="1"/>
    <col min="3" max="16384" width="9.140625" style="50"/>
  </cols>
  <sheetData>
    <row r="1" spans="1:2">
      <c r="A1" s="54" t="s">
        <v>25</v>
      </c>
      <c r="B1" s="54" t="s">
        <v>45</v>
      </c>
    </row>
    <row r="2" spans="1:2">
      <c r="A2" s="51" t="s">
        <v>18</v>
      </c>
      <c r="B2" s="52"/>
    </row>
    <row r="3" spans="1:2">
      <c r="A3" s="53" t="s">
        <v>28</v>
      </c>
      <c r="B3" s="52">
        <v>236.5</v>
      </c>
    </row>
    <row r="4" spans="1:2">
      <c r="A4" s="53" t="s">
        <v>29</v>
      </c>
      <c r="B4" s="52">
        <v>974.10000000000036</v>
      </c>
    </row>
    <row r="5" spans="1:2">
      <c r="A5" s="53" t="s">
        <v>30</v>
      </c>
      <c r="B5" s="52">
        <v>197.70000000000073</v>
      </c>
    </row>
    <row r="6" spans="1:2">
      <c r="A6" s="53" t="s">
        <v>31</v>
      </c>
      <c r="B6" s="52">
        <v>504.19999999999891</v>
      </c>
    </row>
    <row r="7" spans="1:2">
      <c r="A7" s="53" t="s">
        <v>32</v>
      </c>
      <c r="B7" s="52">
        <v>361.70000000000073</v>
      </c>
    </row>
    <row r="8" spans="1:2">
      <c r="A8" s="51" t="s">
        <v>19</v>
      </c>
      <c r="B8" s="52"/>
    </row>
    <row r="9" spans="1:2">
      <c r="A9" s="53" t="s">
        <v>33</v>
      </c>
      <c r="B9" s="52">
        <v>354.70000000000073</v>
      </c>
    </row>
    <row r="10" spans="1:2">
      <c r="A10" s="53" t="s">
        <v>34</v>
      </c>
      <c r="B10" s="52">
        <v>399.69999999999891</v>
      </c>
    </row>
    <row r="11" spans="1:2">
      <c r="A11" s="53" t="s">
        <v>35</v>
      </c>
      <c r="B11" s="52">
        <v>370.80000000000109</v>
      </c>
    </row>
    <row r="12" spans="1:2">
      <c r="A12" s="53" t="s">
        <v>36</v>
      </c>
      <c r="B12" s="52">
        <v>309.19999999999891</v>
      </c>
    </row>
    <row r="13" spans="1:2">
      <c r="A13" s="53" t="s">
        <v>37</v>
      </c>
      <c r="B13" s="52">
        <v>385.30000000000109</v>
      </c>
    </row>
    <row r="14" spans="1:2">
      <c r="A14" s="53" t="s">
        <v>38</v>
      </c>
      <c r="B14" s="52">
        <v>321.09999999999854</v>
      </c>
    </row>
    <row r="15" spans="1:2">
      <c r="A15" s="53" t="s">
        <v>39</v>
      </c>
      <c r="B15" s="52">
        <v>754.70000000000073</v>
      </c>
    </row>
    <row r="16" spans="1:2">
      <c r="A16" s="51" t="s">
        <v>20</v>
      </c>
      <c r="B16" s="52"/>
    </row>
    <row r="17" spans="1:2">
      <c r="A17" s="53" t="s">
        <v>37</v>
      </c>
      <c r="B17" s="52">
        <v>408.89999999999964</v>
      </c>
    </row>
    <row r="18" spans="1:2">
      <c r="A18" s="53" t="s">
        <v>38</v>
      </c>
      <c r="B18" s="52">
        <v>222.80000000000109</v>
      </c>
    </row>
    <row r="19" spans="1:2">
      <c r="A19" s="53" t="s">
        <v>39</v>
      </c>
      <c r="B19" s="52">
        <v>172.19999999999891</v>
      </c>
    </row>
    <row r="20" spans="1:2">
      <c r="A20" s="53" t="s">
        <v>29</v>
      </c>
      <c r="B20" s="52">
        <v>280.60000000000036</v>
      </c>
    </row>
    <row r="21" spans="1:2">
      <c r="A21" s="51" t="s">
        <v>60</v>
      </c>
      <c r="B21" s="52"/>
    </row>
    <row r="22" spans="1:2">
      <c r="A22" s="53" t="s">
        <v>32</v>
      </c>
      <c r="B22" s="52">
        <v>1500</v>
      </c>
    </row>
    <row r="23" spans="1:2">
      <c r="A23" s="51" t="s">
        <v>61</v>
      </c>
      <c r="B23" s="52"/>
    </row>
    <row r="24" spans="1:2">
      <c r="A24" s="53" t="s">
        <v>32</v>
      </c>
      <c r="B24" s="52">
        <v>1015</v>
      </c>
    </row>
    <row r="25" spans="1:2">
      <c r="A25" s="51" t="s">
        <v>21</v>
      </c>
      <c r="B25" s="52"/>
    </row>
    <row r="26" spans="1:2">
      <c r="A26" s="53" t="s">
        <v>37</v>
      </c>
      <c r="B26" s="52">
        <v>307</v>
      </c>
    </row>
    <row r="27" spans="1:2">
      <c r="A27" s="53" t="s">
        <v>38</v>
      </c>
      <c r="B27" s="52">
        <v>628</v>
      </c>
    </row>
    <row r="28" spans="1:2">
      <c r="A28" s="53" t="s">
        <v>39</v>
      </c>
      <c r="B28" s="52">
        <v>324</v>
      </c>
    </row>
    <row r="29" spans="1:2">
      <c r="A29" s="53" t="s">
        <v>28</v>
      </c>
      <c r="B29" s="52">
        <v>161</v>
      </c>
    </row>
    <row r="30" spans="1:2">
      <c r="A30" s="53" t="s">
        <v>29</v>
      </c>
      <c r="B30" s="52">
        <v>676</v>
      </c>
    </row>
    <row r="31" spans="1:2">
      <c r="A31" s="53" t="s">
        <v>30</v>
      </c>
      <c r="B31" s="52">
        <v>173</v>
      </c>
    </row>
    <row r="32" spans="1:2">
      <c r="A32" s="53" t="s">
        <v>31</v>
      </c>
      <c r="B32" s="52">
        <v>521</v>
      </c>
    </row>
    <row r="33" spans="1:2">
      <c r="A33" s="53" t="s">
        <v>32</v>
      </c>
      <c r="B33" s="52">
        <v>330</v>
      </c>
    </row>
    <row r="34" spans="1:2">
      <c r="A34" s="51" t="s">
        <v>22</v>
      </c>
      <c r="B34" s="52"/>
    </row>
    <row r="35" spans="1:2">
      <c r="A35" s="53" t="s">
        <v>33</v>
      </c>
      <c r="B35" s="52">
        <v>329</v>
      </c>
    </row>
    <row r="36" spans="1:2">
      <c r="A36" s="53" t="s">
        <v>34</v>
      </c>
      <c r="B36" s="52">
        <v>364</v>
      </c>
    </row>
    <row r="37" spans="1:2">
      <c r="A37" s="53" t="s">
        <v>35</v>
      </c>
      <c r="B37" s="52">
        <v>507.5</v>
      </c>
    </row>
    <row r="38" spans="1:2">
      <c r="A38" s="53" t="s">
        <v>36</v>
      </c>
      <c r="B38" s="52">
        <v>330.5</v>
      </c>
    </row>
    <row r="39" spans="1:2">
      <c r="A39" s="53" t="s">
        <v>37</v>
      </c>
      <c r="B39" s="52">
        <v>530</v>
      </c>
    </row>
    <row r="40" spans="1:2">
      <c r="A40" s="53" t="s">
        <v>38</v>
      </c>
      <c r="B40" s="52">
        <v>522.70000000000073</v>
      </c>
    </row>
    <row r="41" spans="1:2">
      <c r="A41" s="53" t="s">
        <v>39</v>
      </c>
      <c r="B41" s="52">
        <v>354.73999999999796</v>
      </c>
    </row>
    <row r="42" spans="1:2">
      <c r="A42" s="53" t="s">
        <v>29</v>
      </c>
      <c r="B42" s="52">
        <v>330.56000000000131</v>
      </c>
    </row>
    <row r="43" spans="1:2">
      <c r="A43" s="53" t="s">
        <v>30</v>
      </c>
      <c r="B43" s="52">
        <v>358</v>
      </c>
    </row>
    <row r="44" spans="1:2">
      <c r="A44" s="53" t="s">
        <v>31</v>
      </c>
      <c r="B44" s="52">
        <v>450.59999999999854</v>
      </c>
    </row>
    <row r="45" spans="1:2">
      <c r="A45" s="53" t="s">
        <v>32</v>
      </c>
      <c r="B45" s="52">
        <v>165.40000000000146</v>
      </c>
    </row>
    <row r="46" spans="1:2">
      <c r="A46" s="51" t="s">
        <v>23</v>
      </c>
      <c r="B46" s="52"/>
    </row>
    <row r="47" spans="1:2">
      <c r="A47" s="53" t="s">
        <v>33</v>
      </c>
      <c r="B47" s="52">
        <v>586</v>
      </c>
    </row>
    <row r="48" spans="1:2">
      <c r="A48" s="53" t="s">
        <v>35</v>
      </c>
      <c r="B48" s="52">
        <v>291.59999999999854</v>
      </c>
    </row>
    <row r="49" spans="1:2">
      <c r="A49" s="53" t="s">
        <v>36</v>
      </c>
      <c r="B49" s="52">
        <v>439.70000000000073</v>
      </c>
    </row>
    <row r="50" spans="1:2">
      <c r="A50" s="53" t="s">
        <v>37</v>
      </c>
      <c r="B50" s="52">
        <v>134.29999999999927</v>
      </c>
    </row>
    <row r="51" spans="1:2">
      <c r="A51" s="53" t="s">
        <v>38</v>
      </c>
      <c r="B51" s="52">
        <v>592.40000000000146</v>
      </c>
    </row>
    <row r="52" spans="1:2">
      <c r="A52" s="53" t="s">
        <v>39</v>
      </c>
      <c r="B52" s="52">
        <v>130</v>
      </c>
    </row>
    <row r="53" spans="1:2">
      <c r="A53" s="53" t="s">
        <v>28</v>
      </c>
      <c r="B53" s="52">
        <v>296.70000000000073</v>
      </c>
    </row>
    <row r="54" spans="1:2">
      <c r="A54" s="53" t="s">
        <v>29</v>
      </c>
      <c r="B54" s="52">
        <v>273.20000000000073</v>
      </c>
    </row>
    <row r="55" spans="1:2">
      <c r="A55" s="53" t="s">
        <v>30</v>
      </c>
      <c r="B55" s="52">
        <v>288.09999999999854</v>
      </c>
    </row>
    <row r="56" spans="1:2">
      <c r="A56" s="53" t="s">
        <v>31</v>
      </c>
      <c r="B56" s="52">
        <v>640</v>
      </c>
    </row>
    <row r="57" spans="1:2">
      <c r="A57" s="53" t="s">
        <v>32</v>
      </c>
      <c r="B57" s="52">
        <v>398</v>
      </c>
    </row>
    <row r="58" spans="1:2">
      <c r="A58" s="51" t="s">
        <v>24</v>
      </c>
      <c r="B58" s="52"/>
    </row>
    <row r="59" spans="1:2">
      <c r="A59" s="53" t="s">
        <v>33</v>
      </c>
      <c r="B59" s="52">
        <v>321</v>
      </c>
    </row>
    <row r="60" spans="1:2">
      <c r="A60" s="53" t="s">
        <v>34</v>
      </c>
      <c r="B60" s="52">
        <v>314.29999999999927</v>
      </c>
    </row>
    <row r="61" spans="1:2">
      <c r="A61" s="53" t="s">
        <v>35</v>
      </c>
      <c r="B61" s="52">
        <v>334</v>
      </c>
    </row>
    <row r="62" spans="1:2">
      <c r="A62" s="53" t="s">
        <v>36</v>
      </c>
      <c r="B62" s="52">
        <v>280</v>
      </c>
    </row>
    <row r="63" spans="1:2">
      <c r="A63" s="53" t="s">
        <v>37</v>
      </c>
      <c r="B63" s="52">
        <v>152.10000000000218</v>
      </c>
    </row>
    <row r="64" spans="1:2" ht="15">
      <c r="A64" s="55" t="s">
        <v>17</v>
      </c>
      <c r="B64" s="56">
        <v>21603.600000000002</v>
      </c>
    </row>
  </sheetData>
  <pageMargins left="0.7" right="0.7" top="0.75" bottom="0.75" header="0.3" footer="0.3"/>
  <pageSetup paperSize="9" orientation="portrait" r:id="rId2"/>
  <drawing r:id="rId3"/>
</worksheet>
</file>

<file path=docProps/app.xml><?xml version="1.0" encoding="utf-8"?>
<Properties xmlns="http://schemas.openxmlformats.org/officeDocument/2006/extended-properties" xmlns:vt="http://schemas.openxmlformats.org/officeDocument/2006/docPropsVTypes">
  <Template/>
  <TotalTime>247</TotalTime>
  <Application>Microsoft Excel</Application>
  <DocSecurity>0</DocSecurity>
  <ScaleCrop>false</ScaleCrop>
  <HeadingPairs>
    <vt:vector size="4" baseType="variant">
      <vt:variant>
        <vt:lpstr>Worksheets</vt:lpstr>
      </vt:variant>
      <vt:variant>
        <vt:i4>5</vt:i4>
      </vt:variant>
      <vt:variant>
        <vt:lpstr>Named Ranges</vt:lpstr>
      </vt:variant>
      <vt:variant>
        <vt:i4>3</vt:i4>
      </vt:variant>
    </vt:vector>
  </HeadingPairs>
  <TitlesOfParts>
    <vt:vector size="8" baseType="lpstr">
      <vt:lpstr>InformaciónGeneral</vt:lpstr>
      <vt:lpstr>Consumos</vt:lpstr>
      <vt:lpstr>Litros-Dinero</vt:lpstr>
      <vt:lpstr>Euros-Litro</vt:lpstr>
      <vt:lpstr>Kilómetros Recorridos</vt:lpstr>
      <vt:lpstr>Anyo</vt:lpstr>
      <vt:lpstr>Fecha</vt:lpstr>
      <vt:lpstr>Kms_Recorridos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Luis Massó</dc:creator>
  <dc:description/>
  <cp:lastModifiedBy>Masso Saiz, Luis</cp:lastModifiedBy>
  <cp:revision>49</cp:revision>
  <dcterms:created xsi:type="dcterms:W3CDTF">2012-01-22T12:11:07Z</dcterms:created>
  <dcterms:modified xsi:type="dcterms:W3CDTF">2019-07-02T07:51:43Z</dcterms:modified>
  <dc:language>es-AR</dc:language>
</cp:coreProperties>
</file>